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Leonardo\data_science\fernando\contabilidade-parametrizada\artifacts\"/>
    </mc:Choice>
  </mc:AlternateContent>
  <bookViews>
    <workbookView xWindow="0" yWindow="0" windowWidth="22992" windowHeight="9180" activeTab="2"/>
  </bookViews>
  <sheets>
    <sheet name="RESUMO" sheetId="1" r:id="rId1"/>
    <sheet name="ENTRADAS" sheetId="2" r:id="rId2"/>
    <sheet name="COMPARACAO" sheetId="3" r:id="rId3"/>
    <sheet name="README" sheetId="4" r:id="rId4"/>
    <sheet name="CONFIG" sheetId="5" r:id="rId5"/>
    <sheet name="ENTIDADE" sheetId="6" r:id="rId6"/>
    <sheet name="PLANO_CONTAS" sheetId="7" r:id="rId7"/>
    <sheet name="MAPEAMENTO_CONTAS" sheetId="8" r:id="rId8"/>
    <sheet name="EVENTOS" sheetId="9" r:id="rId9"/>
    <sheet name="EVENTOS_FISCAIS" sheetId="10" r:id="rId10"/>
    <sheet name="LANCAMENTOS" sheetId="11" r:id="rId11"/>
    <sheet name="PARTIDAS" sheetId="12" r:id="rId12"/>
    <sheet name="VINCULO_EVENTO_LCTO" sheetId="13" r:id="rId13"/>
    <sheet name="DIARIO" sheetId="14" r:id="rId14"/>
    <sheet name="RAZAO" sheetId="15" r:id="rId15"/>
    <sheet name="BALANCETE" sheetId="16" r:id="rId16"/>
    <sheet name="MAPEAMENTO_DF" sheetId="17" r:id="rId17"/>
    <sheet name="BP" sheetId="18" r:id="rId18"/>
    <sheet name="DRE" sheetId="19" r:id="rId19"/>
    <sheet name="CENARIOS_TRIBUTARIOS" sheetId="20" r:id="rId20"/>
    <sheet name="FISCAL_PARAM" sheetId="21" r:id="rId21"/>
    <sheet name="ANALISE_PARAM" sheetId="22" r:id="rId22"/>
    <sheet name="FISCAL_RESULTADOS_OPERACAO" sheetId="23" r:id="rId23"/>
    <sheet name="FISCAL_APURACAO" sheetId="24" r:id="rId24"/>
    <sheet name="COMPARATIVO_CENARIOS" sheetId="25" r:id="rId25"/>
    <sheet name="SIMPLES_2027_RESULTADOS" sheetId="26" r:id="rId26"/>
    <sheet name="SIMPLES_2027_COMPARACAO" sheetId="27" r:id="rId27"/>
    <sheet name="VALIDACOES" sheetId="28" r:id="rId28"/>
    <sheet name="PROVENIENCIA" sheetId="29" r:id="rId29"/>
  </sheets>
  <calcPr calcId="0"/>
</workbook>
</file>

<file path=xl/sharedStrings.xml><?xml version="1.0" encoding="utf-8"?>
<sst xmlns="http://schemas.openxmlformats.org/spreadsheetml/2006/main" count="1823" uniqueCount="665">
  <si>
    <t>RESUMO</t>
  </si>
  <si>
    <t>Visão executiva do caso contábil e tributário.</t>
  </si>
  <si>
    <t>IDENTIFICAÇÃO</t>
  </si>
  <si>
    <t>NAVEGAÇÃO</t>
  </si>
  <si>
    <t>Empresa</t>
  </si>
  <si>
    <t>empresa comercial sintética</t>
  </si>
  <si>
    <t>Entradas editáveis</t>
  </si>
  <si>
    <t>Período</t>
  </si>
  <si>
    <t>2027-01-01 a 2027-01-31</t>
  </si>
  <si>
    <t>Comparação de cenários</t>
  </si>
  <si>
    <t>Moeda</t>
  </si>
  <si>
    <t>BRL</t>
  </si>
  <si>
    <t>Balanço patrimonial</t>
  </si>
  <si>
    <t>Cenário baseline</t>
  </si>
  <si>
    <t>SIMPLES_2027_PURO</t>
  </si>
  <si>
    <t>Demonstração do resultado</t>
  </si>
  <si>
    <t>Número de cenários ativos</t>
  </si>
  <si>
    <t>Apuração fiscal</t>
  </si>
  <si>
    <t>OPERAÇÕES DO PERÍODO</t>
  </si>
  <si>
    <t>RESULTADO CONTÁBIL</t>
  </si>
  <si>
    <t>Operação</t>
  </si>
  <si>
    <t>Valor</t>
  </si>
  <si>
    <t>Receita</t>
  </si>
  <si>
    <t>Aporte de capital</t>
  </si>
  <si>
    <t>CMV</t>
  </si>
  <si>
    <t>Compra de mercadoria à vista</t>
  </si>
  <si>
    <t>Resultado do período</t>
  </si>
  <si>
    <t>Venda a prazo</t>
  </si>
  <si>
    <t>Ativo final</t>
  </si>
  <si>
    <t>Venda a vista</t>
  </si>
  <si>
    <t>Passivo</t>
  </si>
  <si>
    <t>Patrimônio líquido</t>
  </si>
  <si>
    <t>RESULTADO TRIBUTÁRIO - BASELINE</t>
  </si>
  <si>
    <t>NOTA SOBRE O CENÁRIO</t>
  </si>
  <si>
    <t>Regime</t>
  </si>
  <si>
    <t>Simples puro</t>
  </si>
  <si>
    <t>O cenário alternativo Simples híbrido depende de hipóteses analíticas declaradas em ANALISE_PARAM. A análise não define automaticamente o melhor regime.</t>
  </si>
  <si>
    <t>Encargo comparável</t>
  </si>
  <si>
    <t>DAS total</t>
  </si>
  <si>
    <t>CBS dentro do DAS</t>
  </si>
  <si>
    <t>IBS dentro do DAS</t>
  </si>
  <si>
    <t>Taxa CBS usada no híbrido</t>
  </si>
  <si>
    <t>9.0000%</t>
  </si>
  <si>
    <t>Fonte da taxa CBS</t>
  </si>
  <si>
    <t>hipótese analítica</t>
  </si>
  <si>
    <t>SIMPLES 2027 - DEMO</t>
  </si>
  <si>
    <t>RBT12</t>
  </si>
  <si>
    <t>CBS 2027 - taxa usada nesta simulação: 0.09</t>
  </si>
  <si>
    <t>Anexo</t>
  </si>
  <si>
    <t>I</t>
  </si>
  <si>
    <t>STATUS: HIPÓTESE ANALÍTICA</t>
  </si>
  <si>
    <t>Baseline</t>
  </si>
  <si>
    <t>A alíquota normativa de 2027 ainda não está cadastrada em FISCAL_PARAM.</t>
  </si>
  <si>
    <t>Alternativo</t>
  </si>
  <si>
    <t>Simples híbrido</t>
  </si>
  <si>
    <t>Alíquota de equilíbrio da CBS: aproximadamente 9.0192%</t>
  </si>
  <si>
    <t>Encargo comparável - puro</t>
  </si>
  <si>
    <t>Encargo comparável - híbrido</t>
  </si>
  <si>
    <t>Delta de encargo</t>
  </si>
  <si>
    <t>ENTRADAS</t>
  </si>
  <si>
    <t>Mapa das abas que podem ser alteradas antes da regeneração pelo Python.</t>
  </si>
  <si>
    <t>ENTRADAS DE USO COMUM</t>
  </si>
  <si>
    <t>ORDEM</t>
  </si>
  <si>
    <t>ABA</t>
  </si>
  <si>
    <t>O_QUE_CONTEM</t>
  </si>
  <si>
    <t>QUANDO_EDITAR</t>
  </si>
  <si>
    <t>NIVEL_DE_CUIDADO</t>
  </si>
  <si>
    <t>CONFIG</t>
  </si>
  <si>
    <t>período e configuração geral</t>
  </si>
  <si>
    <t>alterar período/simulação</t>
  </si>
  <si>
    <t>baixo</t>
  </si>
  <si>
    <t>ENTIDADE</t>
  </si>
  <si>
    <t>atributos da empresa</t>
  </si>
  <si>
    <t>alterar características factuais da entidade</t>
  </si>
  <si>
    <t>médio</t>
  </si>
  <si>
    <t>EVENTOS</t>
  </si>
  <si>
    <t>operações econômicas</t>
  </si>
  <si>
    <t>alterar fatos econômicos</t>
  </si>
  <si>
    <t>alto</t>
  </si>
  <si>
    <t>EVENTOS_FISCAIS</t>
  </si>
  <si>
    <t>atributos fiscais dos eventos</t>
  </si>
  <si>
    <t>alterar dados documentais/fiscais</t>
  </si>
  <si>
    <t>CONFIGURAÇÕES ESTRUTURAIS</t>
  </si>
  <si>
    <t>PLANO_CONTAS</t>
  </si>
  <si>
    <t>plano de contas auditável</t>
  </si>
  <si>
    <t>ajustar estrutura contábil</t>
  </si>
  <si>
    <t>MAPEAMENTO_CONTAS</t>
  </si>
  <si>
    <t>papéis contábeis para contas</t>
  </si>
  <si>
    <t>recodificar contas sem mudar regras econômicas</t>
  </si>
  <si>
    <t>MAPEAMENTO_DF</t>
  </si>
  <si>
    <t>contas para linhas de BP/DRE</t>
  </si>
  <si>
    <t>alterar apresentação das demonstrações</t>
  </si>
  <si>
    <t>PARÂMETROS NORMATIVOS - ALTA SENSIBILIDADE</t>
  </si>
  <si>
    <t>CENARIOS_TRIBUTARIOS</t>
  </si>
  <si>
    <t>cenários e regimes tributários</t>
  </si>
  <si>
    <t>configurar cenários contrafactuais</t>
  </si>
  <si>
    <t>FISCAL_PARAM</t>
  </si>
  <si>
    <t>parâmetros normativos versionados</t>
  </si>
  <si>
    <t>somente com base normativa rastreável</t>
  </si>
  <si>
    <t>muito alto</t>
  </si>
  <si>
    <t>HIPÓTESES ANALÍTICAS - NÃO NORMATIVAS</t>
  </si>
  <si>
    <t>ANALISE_PARAM</t>
  </si>
  <si>
    <t>hipóteses de sensibilidade</t>
  </si>
  <si>
    <t>alterar premissas analíticas não normativas</t>
  </si>
  <si>
    <t>COMPARAÇÃO</t>
  </si>
  <si>
    <t>Leitura descritiva do baseline contra o cenário alternativo.</t>
  </si>
  <si>
    <t>SIMPLES_2027_PURO - Simples puro</t>
  </si>
  <si>
    <t>Resultados Simples 2027</t>
  </si>
  <si>
    <t>SIMPLES_2027_HIBRIDO - Simples híbrido</t>
  </si>
  <si>
    <t>Comparação Simples 2027</t>
  </si>
  <si>
    <t>Hipóteses analíticas</t>
  </si>
  <si>
    <t>Cenários tributários</t>
  </si>
  <si>
    <t>CBS 2027 - taxa usada nesta simulação: 9.0000%</t>
  </si>
  <si>
    <t>Alíquota de equilíbrio da CBS: aproximadamente 9.0192% - DERIVADO ANALÍTICO</t>
  </si>
  <si>
    <t>CARGA PRÓPRIA</t>
  </si>
  <si>
    <t>INDICADOR</t>
  </si>
  <si>
    <t>SIMPLES PURO</t>
  </si>
  <si>
    <t>SIMPLES HÍBRIDO</t>
  </si>
  <si>
    <t>DELTA</t>
  </si>
  <si>
    <t>n/a</t>
  </si>
  <si>
    <t>DAS residual</t>
  </si>
  <si>
    <t>CBS regular líquida modelada</t>
  </si>
  <si>
    <t>IBS regular líquido modelado</t>
  </si>
  <si>
    <t>Encargo tributário comparável</t>
  </si>
  <si>
    <t>CADEIA DE CRÉDITOS</t>
  </si>
  <si>
    <t>PURO</t>
  </si>
  <si>
    <t>HÍBRIDO</t>
  </si>
  <si>
    <t>Crédito potencial CBS da empresa</t>
  </si>
  <si>
    <t>Crédito potencial IBS da empresa</t>
  </si>
  <si>
    <t>Crédito potencial CBS ao cliente B2B</t>
  </si>
  <si>
    <t>Crédito potencial IBS ao cliente B2B</t>
  </si>
  <si>
    <t>NOTA METODOLÓGICA</t>
  </si>
  <si>
    <t>O encargo tributário comparável do cenário híbrido depende de hipóteses analíticas sobre a taxa da CBS e a realização de créditos. Ele não representa pagamento financeiro efetivamente ocorrido nem substitui a apuração oficial.</t>
  </si>
  <si>
    <t>A análise não define automaticamente o melhor regime.</t>
  </si>
  <si>
    <t>Workbook contábil parametrizado</t>
  </si>
  <si>
    <t>Versão</t>
  </si>
  <si>
    <t>spec_12_excel_workbook_v1</t>
  </si>
  <si>
    <t>Como começar</t>
  </si>
  <si>
    <t>Comece por RESUMO. Use ENTRADAS para localizar o que pode ser editado. Use COMPARACAO para analisar resultados entre cenários.</t>
  </si>
  <si>
    <t>Regra operacional</t>
  </si>
  <si>
    <t>Editar somente abas de entrada; regenerar pelo Python. As demais abas fornecem detalhamento e auditoria.</t>
  </si>
  <si>
    <t>Entradas</t>
  </si>
  <si>
    <t>CONFIG, ENTIDADE, PLANO_CONTAS, MAPEAMENTO_CONTAS, EVENTOS, EVENTOS_FISCAIS, MAPEAMENTO_DF, CENARIOS_TRIBUTARIOS, FISCAL_PARAM e ANALISE_PARAM.</t>
  </si>
  <si>
    <t>COD_DF</t>
  </si>
  <si>
    <t>PLANO_CONTAS.COD_DF é espelho denormalizado de MAPEAMENTO_DF e é sobrescrito na regeneração.</t>
  </si>
  <si>
    <t>Tributário</t>
  </si>
  <si>
    <t>Spec 08 materializa a interface tributária; Spec 09 calcula CBS 2026; Spec 10 executa múltiplos cenários; Spec 11 compara e materializa saídas fiscais derivadas; Spec 12 compara Simples 2027 puro e híbrido.</t>
  </si>
  <si>
    <t>Fonte normativa parametrizada com proveniência.</t>
  </si>
  <si>
    <t>Hipóteses declaradas para análise de sensibilidade; uma hipótese nunca é apresentada como legislação.</t>
  </si>
  <si>
    <t>Derivadas</t>
  </si>
  <si>
    <t>LANCAMENTOS, PARTIDAS, VINCULO_EVENTO_LCTO, DIARIO, RAZAO, BALANCETE, BP, DRE, FISCAL_RESULTADOS_OPERACAO, FISCAL_APURACAO, COMPARATIVO_CENARIOS, SIMPLES_2027_RESULTADOS, SIMPLES_2027_COMPARACAO, VALIDACOES e PROVENIENCIA.</t>
  </si>
  <si>
    <t>Fonte de verdade</t>
  </si>
  <si>
    <t>Objetos derivados são reconstruídos a partir das abas de entrada.</t>
  </si>
  <si>
    <t>CHAVE</t>
  </si>
  <si>
    <t>VALOR</t>
  </si>
  <si>
    <t>simulation_id</t>
  </si>
  <si>
    <t>DEMO_SIMPLES_2027</t>
  </si>
  <si>
    <t>start_date</t>
  </si>
  <si>
    <t>end_date</t>
  </si>
  <si>
    <t>currency</t>
  </si>
  <si>
    <t>seed</t>
  </si>
  <si>
    <t>scenario_name</t>
  </si>
  <si>
    <t>simples_2027_puro_vs_hibrido</t>
  </si>
  <si>
    <t>spec_version</t>
  </si>
  <si>
    <t>ID_ENTIDADE</t>
  </si>
  <si>
    <t>ATRIBUTO</t>
  </si>
  <si>
    <t>TIPO_VALOR</t>
  </si>
  <si>
    <t>ORIGEM</t>
  </si>
  <si>
    <t>ENT_SIMPL_2027</t>
  </si>
  <si>
    <t>NOME_EMPRESA</t>
  </si>
  <si>
    <t>str</t>
  </si>
  <si>
    <t>sintética</t>
  </si>
  <si>
    <t>TIPO_PESSOA</t>
  </si>
  <si>
    <t>pj</t>
  </si>
  <si>
    <t>ATIVIDADE</t>
  </si>
  <si>
    <t>comercio_revenda_mercadorias</t>
  </si>
  <si>
    <t>OPTANTE_SIMPLES</t>
  </si>
  <si>
    <t>true</t>
  </si>
  <si>
    <t>bool</t>
  </si>
  <si>
    <t>ANEXO_SIMPLES</t>
  </si>
  <si>
    <t>RBT12_CENTS</t>
  </si>
  <si>
    <t>120000000</t>
  </si>
  <si>
    <t>int</t>
  </si>
  <si>
    <t>DT_ALT</t>
  </si>
  <si>
    <t>COD_NAT</t>
  </si>
  <si>
    <t>IND_CTA</t>
  </si>
  <si>
    <t>NIVEL</t>
  </si>
  <si>
    <t>COD_CTA</t>
  </si>
  <si>
    <t>COD_CTA_SUP</t>
  </si>
  <si>
    <t>CTA</t>
  </si>
  <si>
    <t>NAT_SALDO_NORMAL</t>
  </si>
  <si>
    <t>ATIVA</t>
  </si>
  <si>
    <t>01</t>
  </si>
  <si>
    <t>S</t>
  </si>
  <si>
    <t>1</t>
  </si>
  <si>
    <t>Ativo</t>
  </si>
  <si>
    <t>D</t>
  </si>
  <si>
    <t>template</t>
  </si>
  <si>
    <t>1.1</t>
  </si>
  <si>
    <t>Ativo Circulante</t>
  </si>
  <si>
    <t>1.1.01</t>
  </si>
  <si>
    <t>Disponibilidades</t>
  </si>
  <si>
    <t>A</t>
  </si>
  <si>
    <t>1.1.01.01</t>
  </si>
  <si>
    <t>Caixa</t>
  </si>
  <si>
    <t>BP_CAIXA</t>
  </si>
  <si>
    <t>1.1.01.02</t>
  </si>
  <si>
    <t>Bancos Conta Movimento</t>
  </si>
  <si>
    <t>BP_BANCOS</t>
  </si>
  <si>
    <t>1.1.02</t>
  </si>
  <si>
    <t>Clientes</t>
  </si>
  <si>
    <t>1.1.02.01</t>
  </si>
  <si>
    <t>BP_CLIENTES</t>
  </si>
  <si>
    <t>1.1.03</t>
  </si>
  <si>
    <t>Estoques</t>
  </si>
  <si>
    <t>1.1.03.01</t>
  </si>
  <si>
    <t>Mercadorias para Revenda</t>
  </si>
  <si>
    <t>BP_ESTOQUES</t>
  </si>
  <si>
    <t>1.1.04</t>
  </si>
  <si>
    <t>Tributos a Recuperar</t>
  </si>
  <si>
    <t>1.1.04.01</t>
  </si>
  <si>
    <t>BP_TRIBUTOS_RECUPERAR</t>
  </si>
  <si>
    <t>1.2</t>
  </si>
  <si>
    <t>Ativo Não Circulante</t>
  </si>
  <si>
    <t>1.2.01</t>
  </si>
  <si>
    <t>Imobilizado</t>
  </si>
  <si>
    <t>1.2.01.01</t>
  </si>
  <si>
    <t>Móveis e Equipamentos</t>
  </si>
  <si>
    <t>BP_IMOBILIZADO</t>
  </si>
  <si>
    <t>1.2.01.02</t>
  </si>
  <si>
    <t>(-) Depreciação Acumulada</t>
  </si>
  <si>
    <t>C</t>
  </si>
  <si>
    <t>BP_DEPRECIACAO_ACUM</t>
  </si>
  <si>
    <t>02</t>
  </si>
  <si>
    <t>2</t>
  </si>
  <si>
    <t>2.1</t>
  </si>
  <si>
    <t>Passivo Circulante</t>
  </si>
  <si>
    <t>2.1.01</t>
  </si>
  <si>
    <t>Fornecedores</t>
  </si>
  <si>
    <t>2.1.01.01</t>
  </si>
  <si>
    <t>BP_FORNECEDORES</t>
  </si>
  <si>
    <t>2.1.02</t>
  </si>
  <si>
    <t>Obrigações Trabalhistas</t>
  </si>
  <si>
    <t>2.1.02.01</t>
  </si>
  <si>
    <t>Salários a Pagar</t>
  </si>
  <si>
    <t>BP_OBRIG_TRAB</t>
  </si>
  <si>
    <t>2.1.03</t>
  </si>
  <si>
    <t>Obrigações Tributárias</t>
  </si>
  <si>
    <t>2.1.03.01</t>
  </si>
  <si>
    <t>Tributos a Recolher</t>
  </si>
  <si>
    <t>BP_OBRIG_TRIB</t>
  </si>
  <si>
    <t>2.2</t>
  </si>
  <si>
    <t>Passivo Não Circulante</t>
  </si>
  <si>
    <t>2.2.01</t>
  </si>
  <si>
    <t>Empréstimos e Financiamentos</t>
  </si>
  <si>
    <t>2.2.01.01</t>
  </si>
  <si>
    <t>Empréstimos Bancários</t>
  </si>
  <si>
    <t>BP_EMPRESTIMOS</t>
  </si>
  <si>
    <t>03</t>
  </si>
  <si>
    <t>3</t>
  </si>
  <si>
    <t>Patrimônio Líquido</t>
  </si>
  <si>
    <t>3.1</t>
  </si>
  <si>
    <t>Capital</t>
  </si>
  <si>
    <t>3.1.01</t>
  </si>
  <si>
    <t>Capital Social</t>
  </si>
  <si>
    <t>3.1.01.01</t>
  </si>
  <si>
    <t>Capital Social Integralizado</t>
  </si>
  <si>
    <t>BP_CAPITAL</t>
  </si>
  <si>
    <t>3.2</t>
  </si>
  <si>
    <t>Resultados Acumulados</t>
  </si>
  <si>
    <t>3.2.01</t>
  </si>
  <si>
    <t>Lucros ou Prejuízos Acumulados</t>
  </si>
  <si>
    <t>3.2.01.01</t>
  </si>
  <si>
    <t>BP_RESULTADOS_ACUM</t>
  </si>
  <si>
    <t>04</t>
  </si>
  <si>
    <t>4</t>
  </si>
  <si>
    <t>Contas de Resultado</t>
  </si>
  <si>
    <t>4.1</t>
  </si>
  <si>
    <t>Receitas</t>
  </si>
  <si>
    <t>4.1.01</t>
  </si>
  <si>
    <t>Receita Bruta</t>
  </si>
  <si>
    <t>4.1.01.01</t>
  </si>
  <si>
    <t>Receita de Vendas</t>
  </si>
  <si>
    <t>DRE_RECEITA_VENDAS</t>
  </si>
  <si>
    <t>4.2</t>
  </si>
  <si>
    <t>Custos</t>
  </si>
  <si>
    <t>4.2.01</t>
  </si>
  <si>
    <t>Custo das Mercadorias Vendidas</t>
  </si>
  <si>
    <t>4.2.01.01</t>
  </si>
  <si>
    <t>DRE_CMV</t>
  </si>
  <si>
    <t>4.3</t>
  </si>
  <si>
    <t>Despesas Operacionais</t>
  </si>
  <si>
    <t>4.3.01</t>
  </si>
  <si>
    <t>Despesas Administrativas</t>
  </si>
  <si>
    <t>4.3.01.01</t>
  </si>
  <si>
    <t>Salários e Encargos</t>
  </si>
  <si>
    <t>DRE_DESP_SALARIOS</t>
  </si>
  <si>
    <t>4.3.01.02</t>
  </si>
  <si>
    <t>Aluguéis</t>
  </si>
  <si>
    <t>DRE_DESP_ALUGUEL</t>
  </si>
  <si>
    <t>4.3.01.03</t>
  </si>
  <si>
    <t>Energia e Utilidades</t>
  </si>
  <si>
    <t>DRE_DESP_UTILIDADES</t>
  </si>
  <si>
    <t>4.3.01.04</t>
  </si>
  <si>
    <t>Depreciação</t>
  </si>
  <si>
    <t>DRE_DESP_DEPRECIACAO</t>
  </si>
  <si>
    <t>4.3.02</t>
  </si>
  <si>
    <t>Despesas Financeiras</t>
  </si>
  <si>
    <t>4.3.02.01</t>
  </si>
  <si>
    <t>Juros e Encargos Financeiros</t>
  </si>
  <si>
    <t>DRE_DESP_FINANCEIRA</t>
  </si>
  <si>
    <t>PAPEL_CONTABIL</t>
  </si>
  <si>
    <t>caixa</t>
  </si>
  <si>
    <t>banco</t>
  </si>
  <si>
    <t>clientes</t>
  </si>
  <si>
    <t>estoques</t>
  </si>
  <si>
    <t>imobilizado</t>
  </si>
  <si>
    <t>depreciacao_acumulada</t>
  </si>
  <si>
    <t>fornecedores</t>
  </si>
  <si>
    <t>capital_social</t>
  </si>
  <si>
    <t>receita_vendas</t>
  </si>
  <si>
    <t>cmv</t>
  </si>
  <si>
    <t>despesa_salarios</t>
  </si>
  <si>
    <t>despesa_aluguel</t>
  </si>
  <si>
    <t>despesa_utilidades</t>
  </si>
  <si>
    <t>despesa_depreciacao</t>
  </si>
  <si>
    <t>despesa_juros</t>
  </si>
  <si>
    <t>ID_EVENTO</t>
  </si>
  <si>
    <t>DT_EVENTO</t>
  </si>
  <si>
    <t>CLASSE_EVENTO</t>
  </si>
  <si>
    <t>TIPO_EVENTO</t>
  </si>
  <si>
    <t>DIRECAO</t>
  </si>
  <si>
    <t>NATUREZA</t>
  </si>
  <si>
    <t>VL_EVENTO</t>
  </si>
  <si>
    <t>VL_CUSTO</t>
  </si>
  <si>
    <t>MEIO_FINANCEIRO</t>
  </si>
  <si>
    <t>CATEGORIA_DESPESA</t>
  </si>
  <si>
    <t>COD_PART</t>
  </si>
  <si>
    <t>COND_PAGTO</t>
  </si>
  <si>
    <t>DOC_REF</t>
  </si>
  <si>
    <t>HIST</t>
  </si>
  <si>
    <t>SPEC_VERSION</t>
  </si>
  <si>
    <t>S2027_E001</t>
  </si>
  <si>
    <t>TR</t>
  </si>
  <si>
    <t>aporte_capital</t>
  </si>
  <si>
    <t>in</t>
  </si>
  <si>
    <t>financeiro</t>
  </si>
  <si>
    <t>na</t>
  </si>
  <si>
    <t>CAP-2027-001</t>
  </si>
  <si>
    <t>Aporte de capital para demo Simples 2027</t>
  </si>
  <si>
    <t>spec_03_events_v1</t>
  </si>
  <si>
    <t>S2027_E002</t>
  </si>
  <si>
    <t>compra_mercadoria_a_vista</t>
  </si>
  <si>
    <t>bem</t>
  </si>
  <si>
    <t>FORN_REGULAR_001</t>
  </si>
  <si>
    <t>vista</t>
  </si>
  <si>
    <t>NFE-2027-001</t>
  </si>
  <si>
    <t>Compra domestica para revenda</t>
  </si>
  <si>
    <t>S2027_E003</t>
  </si>
  <si>
    <t>venda_a_prazo</t>
  </si>
  <si>
    <t>out</t>
  </si>
  <si>
    <t>CLI_B2B_001</t>
  </si>
  <si>
    <t>prazo</t>
  </si>
  <si>
    <t>NFE-2027-002</t>
  </si>
  <si>
    <t>Venda domestica B2B</t>
  </si>
  <si>
    <t>S2027_E004</t>
  </si>
  <si>
    <t>venda_a_vista</t>
  </si>
  <si>
    <t>CLI_B2C_001</t>
  </si>
  <si>
    <t>NFE-2027-003</t>
  </si>
  <si>
    <t>Venda domestica B2C</t>
  </si>
  <si>
    <t>ATRIBUTO_FISCAL</t>
  </si>
  <si>
    <t>AMBITO_OPERACAO</t>
  </si>
  <si>
    <t>domestica</t>
  </si>
  <si>
    <t>REGIME_FORNECEDOR</t>
  </si>
  <si>
    <t>ibs_cbs_regime_regular</t>
  </si>
  <si>
    <t>DESTINACAO_AQUISICAO</t>
  </si>
  <si>
    <t>revenda</t>
  </si>
  <si>
    <t>TIPO_CLIENTE</t>
  </si>
  <si>
    <t>b2b</t>
  </si>
  <si>
    <t>REGIME_ADQUIRENTE</t>
  </si>
  <si>
    <t>b2c</t>
  </si>
  <si>
    <t>consumidor_final</t>
  </si>
  <si>
    <t>NUM_LCTO</t>
  </si>
  <si>
    <t>DT_LCTO</t>
  </si>
  <si>
    <t>VL_LCTO</t>
  </si>
  <si>
    <t>IND_LCTO</t>
  </si>
  <si>
    <t>DT_LCTO_EXT</t>
  </si>
  <si>
    <t>ID_GERACAO</t>
  </si>
  <si>
    <t>VERSAO_REGRA</t>
  </si>
  <si>
    <t>L000001</t>
  </si>
  <si>
    <t>N</t>
  </si>
  <si>
    <t>posting_rules_v1</t>
  </si>
  <si>
    <t>L000002</t>
  </si>
  <si>
    <t>L000003</t>
  </si>
  <si>
    <t>L000004</t>
  </si>
  <si>
    <t>L000005</t>
  </si>
  <si>
    <t>L000006</t>
  </si>
  <si>
    <t>ID_PARTIDA</t>
  </si>
  <si>
    <t>COD_CCUS</t>
  </si>
  <si>
    <t>VL_DC</t>
  </si>
  <si>
    <t>IND_DC</t>
  </si>
  <si>
    <t>NUM_ARQ</t>
  </si>
  <si>
    <t>COD_HIST_PAD</t>
  </si>
  <si>
    <t>ID_ORIGEM</t>
  </si>
  <si>
    <t>P000001</t>
  </si>
  <si>
    <t>P000002</t>
  </si>
  <si>
    <t>P000003</t>
  </si>
  <si>
    <t>P000004</t>
  </si>
  <si>
    <t>P000005</t>
  </si>
  <si>
    <t>P000006</t>
  </si>
  <si>
    <t>P000007</t>
  </si>
  <si>
    <t>CMV - Venda domestica B2B</t>
  </si>
  <si>
    <t>P000008</t>
  </si>
  <si>
    <t>P000009</t>
  </si>
  <si>
    <t>P000010</t>
  </si>
  <si>
    <t>P000011</t>
  </si>
  <si>
    <t>CMV - Venda domestica B2C</t>
  </si>
  <si>
    <t>P000012</t>
  </si>
  <si>
    <t>ORDEM_LCTO_EVENTO</t>
  </si>
  <si>
    <t>DEBITO</t>
  </si>
  <si>
    <t>CREDITO</t>
  </si>
  <si>
    <t>MOVIMENTO_ASSINADO</t>
  </si>
  <si>
    <t>SALDO_ASSINADO</t>
  </si>
  <si>
    <t>SALDO_ABS</t>
  </si>
  <si>
    <t>IND_DC_SALDO</t>
  </si>
  <si>
    <t>DT_INI</t>
  </si>
  <si>
    <t>DT_FIN</t>
  </si>
  <si>
    <t>VL_SLD_INI</t>
  </si>
  <si>
    <t>IND_DC_INI</t>
  </si>
  <si>
    <t>VL_DEB</t>
  </si>
  <si>
    <t>VL_CRED</t>
  </si>
  <si>
    <t>VL_SLD_FIN</t>
  </si>
  <si>
    <t>IND_DC_FIN</t>
  </si>
  <si>
    <t>DEMONSTRACAO</t>
  </si>
  <si>
    <t>COD_LINHA</t>
  </si>
  <si>
    <t>BP</t>
  </si>
  <si>
    <t>DRE</t>
  </si>
  <si>
    <t>DT_REF</t>
  </si>
  <si>
    <t>TIPO_LINHA</t>
  </si>
  <si>
    <t>LINHA</t>
  </si>
  <si>
    <t>VL</t>
  </si>
  <si>
    <t>BP_ATIVO</t>
  </si>
  <si>
    <t>TOTAL</t>
  </si>
  <si>
    <t>BP_ATIVO_CIRCULANTE</t>
  </si>
  <si>
    <t>SUBTOTAL</t>
  </si>
  <si>
    <t>DETALHE</t>
  </si>
  <si>
    <t>BP_ATIVO_NAO_CIRCULANTE</t>
  </si>
  <si>
    <t>BP_PASSIVO</t>
  </si>
  <si>
    <t>BP_PASSIVO_CIRCULANTE</t>
  </si>
  <si>
    <t>BP_PASSIVO_NAO_CIRCULANTE</t>
  </si>
  <si>
    <t>BP_PATRIMONIO_LIQUIDO</t>
  </si>
  <si>
    <t>BP_RESULTADO_PERIODO</t>
  </si>
  <si>
    <t>DERIVADA</t>
  </si>
  <si>
    <t>Resultado do Período</t>
  </si>
  <si>
    <t>BP_TOTAL_PASSIVO_PL</t>
  </si>
  <si>
    <t>Total do Passivo e Patrimônio Líquido</t>
  </si>
  <si>
    <t>DRE_RECEITA_LIQUIDA</t>
  </si>
  <si>
    <t>Receita Líquida</t>
  </si>
  <si>
    <t>(-) Custo das Mercadorias Vendidas</t>
  </si>
  <si>
    <t>DRE_RESULTADO_BRUTO</t>
  </si>
  <si>
    <t>Resultado Bruto</t>
  </si>
  <si>
    <t>(-) Salários e Encargos</t>
  </si>
  <si>
    <t>(-) Aluguéis</t>
  </si>
  <si>
    <t>(-) Energia e Utilidades</t>
  </si>
  <si>
    <t>(-) Depreciação</t>
  </si>
  <si>
    <t>DRE_DESP_OPERACIONAIS</t>
  </si>
  <si>
    <t>(-) Despesas Financeiras</t>
  </si>
  <si>
    <t>DRE_RESULTADO_PERIODO</t>
  </si>
  <si>
    <t>ID_CENARIO</t>
  </si>
  <si>
    <t>DESCRICAO</t>
  </si>
  <si>
    <t>E_BASELINE</t>
  </si>
  <si>
    <t>DT_REFERENCIA_NORMATIVA</t>
  </si>
  <si>
    <t>REGIME_ENTIDADE</t>
  </si>
  <si>
    <t>REGIME_IR</t>
  </si>
  <si>
    <t>REGIME_CONSUMO</t>
  </si>
  <si>
    <t>REGIME_ESPECIAL</t>
  </si>
  <si>
    <t>ID_VERSAO_NORMATIVA</t>
  </si>
  <si>
    <t>ATIVO</t>
  </si>
  <si>
    <t>Simples Nacional puro</t>
  </si>
  <si>
    <t>simples_nacional</t>
  </si>
  <si>
    <t>simples_ibs_cbs_das</t>
  </si>
  <si>
    <t>SIMPLES_2027_H1_V1</t>
  </si>
  <si>
    <t>SIMPLES_2027_HIBRIDO</t>
  </si>
  <si>
    <t>Simples Nacional hibrido</t>
  </si>
  <si>
    <t>ID_PARAM</t>
  </si>
  <si>
    <t>ID_REGRA</t>
  </si>
  <si>
    <t>TRIBUTO</t>
  </si>
  <si>
    <t>CHAVE_PARAM</t>
  </si>
  <si>
    <t>TIPO_FONTE</t>
  </si>
  <si>
    <t>FONTE_TITULO</t>
  </si>
  <si>
    <t>FONTE_URL</t>
  </si>
  <si>
    <t>DISPOSITIVO</t>
  </si>
  <si>
    <t>VERSAO_NORMA</t>
  </si>
  <si>
    <t>VIG_INI</t>
  </si>
  <si>
    <t>VIG_FIM</t>
  </si>
  <si>
    <t>DATA_CONSULTA</t>
  </si>
  <si>
    <t>PARAM_SIMPLES_F1_MAX</t>
  </si>
  <si>
    <t>SIMPLES_2027_ANEXO_I</t>
  </si>
  <si>
    <t>SIMPLES</t>
  </si>
  <si>
    <t>SIMPLES_ANNEX_I_F1_RBT12_MAX_CENTS</t>
  </si>
  <si>
    <t>18000000</t>
  </si>
  <si>
    <t>norm</t>
  </si>
  <si>
    <t>Resolução CGSN 190/2026</t>
  </si>
  <si>
    <t>https://www.in.gov.br/web/dou/-/resolucao-cgsn-n-190-de-4-de-agosto-de-2026-724454118</t>
  </si>
  <si>
    <t>Anexo I, Comércio, 1ª faixa</t>
  </si>
  <si>
    <t>simples_2027_puro_hibrido_v1</t>
  </si>
  <si>
    <t>PARAM_SIMPLES_F1_RATE</t>
  </si>
  <si>
    <t>SIMPLES_ANNEX_I_F1_NOMINAL_RATE_FRACTION</t>
  </si>
  <si>
    <t>0.04</t>
  </si>
  <si>
    <t>decimal</t>
  </si>
  <si>
    <t>PARAM_SIMPLES_F1_DED</t>
  </si>
  <si>
    <t>SIMPLES_ANNEX_I_F1_DEDUCTION_CENTS</t>
  </si>
  <si>
    <t>0</t>
  </si>
  <si>
    <t>PARAM_SIMPLES_F2_MAX</t>
  </si>
  <si>
    <t>SIMPLES_ANNEX_I_F2_RBT12_MAX_CENTS</t>
  </si>
  <si>
    <t>36000000</t>
  </si>
  <si>
    <t>Anexo I, Comércio, 2ª faixa</t>
  </si>
  <si>
    <t>PARAM_SIMPLES_F2_RATE</t>
  </si>
  <si>
    <t>SIMPLES_ANNEX_I_F2_NOMINAL_RATE_FRACTION</t>
  </si>
  <si>
    <t>0.073</t>
  </si>
  <si>
    <t>PARAM_SIMPLES_F2_DED</t>
  </si>
  <si>
    <t>SIMPLES_ANNEX_I_F2_DEDUCTION_CENTS</t>
  </si>
  <si>
    <t>594000</t>
  </si>
  <si>
    <t>PARAM_SIMPLES_F3_MAX</t>
  </si>
  <si>
    <t>SIMPLES_ANNEX_I_F3_RBT12_MAX_CENTS</t>
  </si>
  <si>
    <t>72000000</t>
  </si>
  <si>
    <t>Anexo I, Comércio, 3ª faixa</t>
  </si>
  <si>
    <t>PARAM_SIMPLES_F3_RATE</t>
  </si>
  <si>
    <t>SIMPLES_ANNEX_I_F3_NOMINAL_RATE_FRACTION</t>
  </si>
  <si>
    <t>0.095</t>
  </si>
  <si>
    <t>PARAM_SIMPLES_F3_DED</t>
  </si>
  <si>
    <t>SIMPLES_ANNEX_I_F3_DEDUCTION_CENTS</t>
  </si>
  <si>
    <t>1386000</t>
  </si>
  <si>
    <t>PARAM_SIMPLES_F4_MAX</t>
  </si>
  <si>
    <t>SIMPLES_ANNEX_I_F4_RBT12_MAX_CENTS</t>
  </si>
  <si>
    <t>180000000</t>
  </si>
  <si>
    <t>Anexo I, Comércio, 4ª faixa</t>
  </si>
  <si>
    <t>PARAM_SIMPLES_F4_RATE</t>
  </si>
  <si>
    <t>SIMPLES_ANNEX_I_F4_NOMINAL_RATE_FRACTION</t>
  </si>
  <si>
    <t>0.107</t>
  </si>
  <si>
    <t>PARAM_SIMPLES_F4_DED</t>
  </si>
  <si>
    <t>SIMPLES_ANNEX_I_F4_DEDUCTION_CENTS</t>
  </si>
  <si>
    <t>2250000</t>
  </si>
  <si>
    <t>PARAM_SIMPLES_F5_MAX</t>
  </si>
  <si>
    <t>SIMPLES_ANNEX_I_F5_RBT12_MAX_CENTS</t>
  </si>
  <si>
    <t>360000000</t>
  </si>
  <si>
    <t>Anexo I, Comércio, 5ª faixa</t>
  </si>
  <si>
    <t>PARAM_SIMPLES_F5_RATE</t>
  </si>
  <si>
    <t>SIMPLES_ANNEX_I_F5_NOMINAL_RATE_FRACTION</t>
  </si>
  <si>
    <t>0.143</t>
  </si>
  <si>
    <t>PARAM_SIMPLES_F5_DED</t>
  </si>
  <si>
    <t>SIMPLES_ANNEX_I_F5_DEDUCTION_CENTS</t>
  </si>
  <si>
    <t>8730000</t>
  </si>
  <si>
    <t>PARAM_SIMPLES_CBS_SHARE</t>
  </si>
  <si>
    <t>SIMPLES_ANNEX_I_CBS_SHARE_FRACTION</t>
  </si>
  <si>
    <t>0.1533</t>
  </si>
  <si>
    <t>Anexo I, Comércio, Percentual de Repartição dos Tributos</t>
  </si>
  <si>
    <t>PARAM_SIMPLES_IBS_SHARE</t>
  </si>
  <si>
    <t>SIMPLES_ANNEX_I_IBS_SHARE_FRACTION</t>
  </si>
  <si>
    <t>0.0017</t>
  </si>
  <si>
    <t>PARAM_SIMPLES_REVENUE</t>
  </si>
  <si>
    <t>SIMPLES_2027_REVENUE_RECOGNITION</t>
  </si>
  <si>
    <t>faturamento</t>
  </si>
  <si>
    <t>LC 123/2006 compilada</t>
  </si>
  <si>
    <t>https://www.planalto.gov.br/ccivil_03/leis/lcp/lcp123.htm</t>
  </si>
  <si>
    <t>art. 18, caput e § 1º</t>
  </si>
  <si>
    <t>PARAM_IBS_2027_RATE</t>
  </si>
  <si>
    <t>IBS_REGULAR_2027_TRANSICAO</t>
  </si>
  <si>
    <t>IBS</t>
  </si>
  <si>
    <t>IBS_2027_REGULAR_RATE_FRACTION</t>
  </si>
  <si>
    <t>0.001</t>
  </si>
  <si>
    <t>LC 214/2025 compilada</t>
  </si>
  <si>
    <t>https://www.planalto.gov.br/ccivil_03/leis/lcp/lcp214.htm</t>
  </si>
  <si>
    <t>art. 344</t>
  </si>
  <si>
    <t>ID_ANALISE</t>
  </si>
  <si>
    <t>CBS_2027_ANALYSIS_RATE_FRACTION</t>
  </si>
  <si>
    <t>0.09</t>
  </si>
  <si>
    <t>Hipótese analítica para demonstração; não representa alíquota oficial da CBS 2027.</t>
  </si>
  <si>
    <t>REGULAR_CREDIT_REALIZATION_FRACTION</t>
  </si>
  <si>
    <t>1.0</t>
  </si>
  <si>
    <t>Hipótese analítica de realização integral dos créditos elegíveis no período.</t>
  </si>
  <si>
    <t>INCIDE</t>
  </si>
  <si>
    <t>BASE</t>
  </si>
  <si>
    <t>ALIQUOTA</t>
  </si>
  <si>
    <t>S_APUR</t>
  </si>
  <si>
    <t>T_RECOLHER</t>
  </si>
  <si>
    <t>P_CASH</t>
  </si>
  <si>
    <t>E_DRE</t>
  </si>
  <si>
    <t>C_SALDO</t>
  </si>
  <si>
    <t>ID_CENARIO_BASE</t>
  </si>
  <si>
    <t>DELTA_S_APUR</t>
  </si>
  <si>
    <t>DELTA_T_RECOLHER</t>
  </si>
  <si>
    <t>DELTA_P_CASH</t>
  </si>
  <si>
    <t>DELTA_E_DRE</t>
  </si>
  <si>
    <t>DELTA_C_SALDO</t>
  </si>
  <si>
    <t>RECEITA_MES</t>
  </si>
  <si>
    <t>ALIQUOTA_EFETIVA_SIMPLES</t>
  </si>
  <si>
    <t>DAS_TOTAL</t>
  </si>
  <si>
    <t>DAS_CBS</t>
  </si>
  <si>
    <t>DAS_IBS</t>
  </si>
  <si>
    <t>DAS_OUTROS</t>
  </si>
  <si>
    <t>CBS_REGULAR_RATE_FRACTION</t>
  </si>
  <si>
    <t>CBS_RATE_SOURCE</t>
  </si>
  <si>
    <t>CBS_DEBITO_REGULAR</t>
  </si>
  <si>
    <t>CBS_CREDITO_EMPRESA_POTENCIAL</t>
  </si>
  <si>
    <t>CBS_CREDITO_EMPRESA_MODELADO</t>
  </si>
  <si>
    <t>CBS_VALOR_LIQUIDO_MODELADO</t>
  </si>
  <si>
    <t>CBS_SALDO_CREDOR_MODELADO</t>
  </si>
  <si>
    <t>IBS_REGULAR_RATE_FRACTION</t>
  </si>
  <si>
    <t>IBS_DEBITO_REGULAR</t>
  </si>
  <si>
    <t>IBS_CREDITO_EMPRESA_POTENCIAL</t>
  </si>
  <si>
    <t>IBS_CREDITO_EMPRESA_MODELADO</t>
  </si>
  <si>
    <t>IBS_VALOR_LIQUIDO_MODELADO</t>
  </si>
  <si>
    <t>IBS_SALDO_CREDOR_MODELADO</t>
  </si>
  <si>
    <t>ENCARGO_TRIBUTARIO_COMPARAVEL</t>
  </si>
  <si>
    <t>CLIENTE_B2B_CREDITO_CBS_POTENCIAL</t>
  </si>
  <si>
    <t>CLIENTE_B2B_CREDITO_IBS_POTENCIAL</t>
  </si>
  <si>
    <t>STATUS_RESULTADO</t>
  </si>
  <si>
    <t>normativo</t>
  </si>
  <si>
    <t>analysis</t>
  </si>
  <si>
    <t>analitico</t>
  </si>
  <si>
    <t>METRICA</t>
  </si>
  <si>
    <t>BASELINE</t>
  </si>
  <si>
    <t>ALTERNATIVO</t>
  </si>
  <si>
    <t>STATUS_BASELINE</t>
  </si>
  <si>
    <t>STATUS_ALTERNATIVO</t>
  </si>
  <si>
    <t>CREDITO_EMPRESA_CBS_POTENCIAL</t>
  </si>
  <si>
    <t>CREDITO_EMPRESA_IBS_POTENCIAL</t>
  </si>
  <si>
    <t>ETAPA</t>
  </si>
  <si>
    <t>OK</t>
  </si>
  <si>
    <t>ISSUE_CODE</t>
  </si>
  <si>
    <t>MENSAGEM</t>
  </si>
  <si>
    <t>ACCOUNT_CODE</t>
  </si>
  <si>
    <t>EVENT_ID</t>
  </si>
  <si>
    <t>ENTRY_ID</t>
  </si>
  <si>
    <t>POSTING_ID</t>
  </si>
  <si>
    <t>ENTITY_ID</t>
  </si>
  <si>
    <t>SCENARIO_ID</t>
  </si>
  <si>
    <t>TAX_PARAM_ID</t>
  </si>
  <si>
    <t>ok</t>
  </si>
  <si>
    <t>CONTEXTO_TRIBUTARIO</t>
  </si>
  <si>
    <t>LANCAMENTOS_PARTIDAS</t>
  </si>
  <si>
    <t>RAZAO_BALANCETE</t>
  </si>
  <si>
    <t>DEMONSTRACOES</t>
  </si>
  <si>
    <t>workbook_spec_version</t>
  </si>
  <si>
    <t>financial_statement_spec_version</t>
  </si>
  <si>
    <t>spec_07_financial_statements_v1</t>
  </si>
  <si>
    <t>tax_interface_spec_version</t>
  </si>
  <si>
    <t>spec_08_counterfactual_tax_interface_v1</t>
  </si>
  <si>
    <t>counterfactual_report_spec_version</t>
  </si>
  <si>
    <t>spec_11_counterfactual_tax_comparison_report_v1</t>
  </si>
  <si>
    <t>simples_2027_rule_spec_version</t>
  </si>
  <si>
    <t>spec_12_simples_2027_puro_hibrido_v1</t>
  </si>
  <si>
    <t>simulation_spec_version</t>
  </si>
  <si>
    <t>posting_rule_version</t>
  </si>
  <si>
    <t>statement_mapping_source</t>
  </si>
  <si>
    <t>tax_context_configured</t>
  </si>
  <si>
    <t>TRUE</t>
  </si>
  <si>
    <t>tax_normative_versions</t>
  </si>
  <si>
    <t>analysis_id</t>
  </si>
  <si>
    <t>analysis_parameters_present</t>
  </si>
  <si>
    <t>cbs_rate_source</t>
  </si>
  <si>
    <t>chart_source</t>
  </si>
  <si>
    <t>template_or_input_PLANO_CONTAS</t>
  </si>
  <si>
    <t>event_spec_versions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</si>
</sst>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R$&quot;\ #,##0.00"/>
    <numFmt numFmtId="165" formatCode="yyyy\-mm\-dd"/>
    <numFmt numFmtId="166" formatCode="0.0000%"/>
  </numFmts>
  <fonts count="8" x14ac:knownFonts="1">
    <font>
      <sz val="11"/>
      <color theme="1"/>
      <name val="Calibri"/>
      <family val="2"/>
      <scheme val="minor"/>
    </font>
    <font>
      <b/>
      <sz val="16"/>
      <color rgb="FF1F2933"/>
      <name val="Calibri"/>
    </font>
    <font>
      <sz val="10"/>
      <color rgb="FF52606D"/>
      <name val="Calibri"/>
    </font>
    <font>
      <b/>
      <sz val="11"/>
      <color rgb="FF1F2933"/>
      <name val="Calibri"/>
    </font>
    <font>
      <b/>
      <sz val="11"/>
      <color rgb="FF323F4B"/>
      <name val="Calibri"/>
    </font>
    <font>
      <sz val="12"/>
      <color theme="10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2F4F7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E2EC"/>
      </bottom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1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164" fontId="0" fillId="0" borderId="1" xfId="0" applyNumberFormat="1" applyBorder="1" applyAlignment="1">
      <alignment vertical="top" wrapText="1"/>
    </xf>
    <xf numFmtId="0" fontId="6" fillId="0" borderId="0" xfId="0" applyFont="1"/>
    <xf numFmtId="0" fontId="7" fillId="5" borderId="0" xfId="0" applyFont="1" applyFill="1"/>
    <xf numFmtId="165" fontId="0" fillId="0" borderId="0" xfId="0" applyNumberFormat="1"/>
    <xf numFmtId="4" fontId="0" fillId="0" borderId="0" xfId="0" applyNumberFormat="1"/>
    <xf numFmtId="0" fontId="7" fillId="2" borderId="0" xfId="0" applyFont="1" applyFill="1"/>
    <xf numFmtId="166" fontId="0" fillId="0" borderId="0" xfId="0" applyNumberFormat="1"/>
    <xf numFmtId="0" fontId="3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bl_CONFIG" displayName="tbl_CONFIG" ref="A1:B8">
  <autoFilter ref="A1:B8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ENTIDADE" displayName="tbl_ENTIDADE" ref="A1:E7">
  <autoFilter ref="A1:E7"/>
  <tableColumns count="5">
    <tableColumn id="1" name="ID_ENTIDADE"/>
    <tableColumn id="2" name="ATRIBUTO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PLANO_CONTAS" displayName="tbl_PLANO_CONTAS" ref="A1:K49">
  <autoFilter ref="A1:K49"/>
  <tableColumns count="11">
    <tableColumn id="1" name="DT_ALT"/>
    <tableColumn id="2" name="COD_NAT"/>
    <tableColumn id="3" name="IND_CTA"/>
    <tableColumn id="4" name="NIVEL"/>
    <tableColumn id="5" name="COD_CTA"/>
    <tableColumn id="6" name="COD_CTA_SUP"/>
    <tableColumn id="7" name="CTA"/>
    <tableColumn id="8" name="NAT_SALDO_NORMAL"/>
    <tableColumn id="9" name="COD_DF"/>
    <tableColumn id="10" name="ATIVA"/>
    <tableColumn id="11" name="ORIGE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APEAMENTO_CONTAS" displayName="tbl_MAPEAMENTO_CONTAS" ref="A1:B16">
  <autoFilter ref="A1:B16"/>
  <tableColumns count="2">
    <tableColumn id="1" name="PAPEL_CONTABIL"/>
    <tableColumn id="2" name="COD_C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EVENTOS" displayName="tbl_EVENTOS" ref="A1:P5">
  <autoFilter ref="A1:P5"/>
  <tableColumns count="16">
    <tableColumn id="1" name="ID_EVENTO"/>
    <tableColumn id="2" name="DT_EVENTO"/>
    <tableColumn id="3" name="CLASSE_EVENTO"/>
    <tableColumn id="4" name="TIPO_EVENTO"/>
    <tableColumn id="5" name="DIRECAO"/>
    <tableColumn id="6" name="NATUREZA"/>
    <tableColumn id="7" name="VL_EVENTO"/>
    <tableColumn id="8" name="VL_CUSTO"/>
    <tableColumn id="9" name="MEIO_FINANCEIRO"/>
    <tableColumn id="10" name="CATEGORIA_DESPESA"/>
    <tableColumn id="11" name="COD_PART"/>
    <tableColumn id="12" name="COND_PAGTO"/>
    <tableColumn id="13" name="DOC_REF"/>
    <tableColumn id="14" name="HIST"/>
    <tableColumn id="15" name="ORIGEM"/>
    <tableColumn id="16" name="SPEC_VERS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EVENTOS_FISCAIS" displayName="tbl_EVENTOS_FISCAIS" ref="A1:E10">
  <autoFilter ref="A1:E10"/>
  <tableColumns count="5">
    <tableColumn id="1" name="ID_EVENTO"/>
    <tableColumn id="2" name="ATRIBUTO_FISCAL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LANCAMENTOS" displayName="tbl_LANCAMENTOS" ref="A1:G7">
  <autoFilter ref="A1:G7"/>
  <tableColumns count="7">
    <tableColumn id="1" name="NUM_LCTO"/>
    <tableColumn id="2" name="DT_LCTO"/>
    <tableColumn id="3" name="VL_LCTO"/>
    <tableColumn id="4" name="IND_LCTO"/>
    <tableColumn id="5" name="DT_LCTO_EXT"/>
    <tableColumn id="6" name="ID_GERACAO"/>
    <tableColumn id="7" name="VERSAO_REGR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RTIDAS" displayName="tbl_PARTIDAS" ref="A1:K13">
  <autoFilter ref="A1:K13"/>
  <tableColumns count="11">
    <tableColumn id="1" name="ID_PARTIDA"/>
    <tableColumn id="2" name="NUM_LCTO"/>
    <tableColumn id="3" name="COD_CTA"/>
    <tableColumn id="4" name="COD_CCUS"/>
    <tableColumn id="5" name="VL_DC"/>
    <tableColumn id="6" name="IND_DC"/>
    <tableColumn id="7" name="NUM_ARQ"/>
    <tableColumn id="8" name="COD_HIST_PAD"/>
    <tableColumn id="9" name="HIST"/>
    <tableColumn id="10" name="COD_PART"/>
    <tableColumn id="11" name="ID_ORIGE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INCULO_EVENTO_LCTO" displayName="tbl_VINCULO_EVENTO_LCTO" ref="A1:C7">
  <autoFilter ref="A1:C7"/>
  <tableColumns count="3">
    <tableColumn id="1" name="ID_EVENTO"/>
    <tableColumn id="2" name="NUM_LCTO"/>
    <tableColumn id="3" name="ORDEM_LCTO_EV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DIARIO" displayName="tbl_DIARIO" ref="A1:J13">
  <autoFilter ref="A1:J13"/>
  <tableColumns count="10">
    <tableColumn id="1" name="DT_LCTO"/>
    <tableColumn id="2" name="NUM_LCTO"/>
    <tableColumn id="3" name="ID_PARTIDA"/>
    <tableColumn id="4" name="COD_CTA"/>
    <tableColumn id="5" name="CTA"/>
    <tableColumn id="6" name="IND_DC"/>
    <tableColumn id="7" name="VL_DC"/>
    <tableColumn id="8" name="HIST"/>
    <tableColumn id="9" name="COD_PART"/>
    <tableColumn id="10" name="ID_ORIGE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RAZAO" displayName="tbl_RAZAO" ref="A1:M13">
  <autoFilter ref="A1:M13"/>
  <tableColumns count="13">
    <tableColumn id="1" name="COD_CTA"/>
    <tableColumn id="2" name="CTA"/>
    <tableColumn id="3" name="DT_LCTO"/>
    <tableColumn id="4" name="NUM_LCTO"/>
    <tableColumn id="5" name="ID_PARTIDA"/>
    <tableColumn id="6" name="DEBITO"/>
    <tableColumn id="7" name="CREDITO"/>
    <tableColumn id="8" name="MOVIMENTO_ASSINADO"/>
    <tableColumn id="9" name="SALDO_ASSINADO"/>
    <tableColumn id="10" name="SALDO_ABS"/>
    <tableColumn id="11" name="IND_DC_SALDO"/>
    <tableColumn id="12" name="HIST"/>
    <tableColumn id="13" name="ID_ORIGE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BALANCETE" displayName="tbl_BALANCETE" ref="A1:J21">
  <autoFilter ref="A1:J21"/>
  <tableColumns count="10">
    <tableColumn id="1" name="DT_INI"/>
    <tableColumn id="2" name="DT_FIN"/>
    <tableColumn id="3" name="COD_CTA"/>
    <tableColumn id="4" name="COD_CCUS"/>
    <tableColumn id="5" name="VL_SLD_INI"/>
    <tableColumn id="6" name="IND_DC_INI"/>
    <tableColumn id="7" name="VL_DEB"/>
    <tableColumn id="8" name="VL_CRED"/>
    <tableColumn id="9" name="VL_SLD_FIN"/>
    <tableColumn id="10" name="IND_DC_FI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MAPEAMENTO_DF" displayName="tbl_MAPEAMENTO_DF" ref="A1:C21">
  <autoFilter ref="A1:C21"/>
  <tableColumns count="3">
    <tableColumn id="1" name="COD_CTA"/>
    <tableColumn id="2" name="DEMONSTRACAO"/>
    <tableColumn id="3" name="COD_LINH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BP" displayName="tbl_BP" ref="A1:G23">
  <autoFilter ref="A1:G23"/>
  <tableColumns count="7">
    <tableColumn id="1" name="DT_REF"/>
    <tableColumn id="2" name="ORDEM"/>
    <tableColumn id="3" name="COD_LINHA"/>
    <tableColumn id="4" name="NIVEL"/>
    <tableColumn id="5" name="TIPO_LINHA"/>
    <tableColumn id="6" name="LINHA"/>
    <tableColumn id="7" name="V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DRE" displayName="tbl_DRE" ref="A1:H12">
  <autoFilter ref="A1:H12"/>
  <tableColumns count="8">
    <tableColumn id="1" name="DT_INI"/>
    <tableColumn id="2" name="DT_FIN"/>
    <tableColumn id="3" name="ORDEM"/>
    <tableColumn id="4" name="COD_LINHA"/>
    <tableColumn id="5" name="NIVEL"/>
    <tableColumn id="6" name="TIPO_LINHA"/>
    <tableColumn id="7" name="LINHA"/>
    <tableColumn id="8" name="V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ENARIOS_TRIBUTARIOS" displayName="tbl_CENARIOS_TRIBUTARIOS" ref="A1:K3">
  <autoFilter ref="A1:K3"/>
  <tableColumns count="11">
    <tableColumn id="1" name="ID_CENARIO"/>
    <tableColumn id="2" name="ID_ENTIDADE"/>
    <tableColumn id="3" name="DESCRICAO"/>
    <tableColumn id="4" name="E_BASELINE"/>
    <tableColumn id="5" name="DT_REFERENCIA_NORMATIVA"/>
    <tableColumn id="6" name="REGIME_ENTIDADE"/>
    <tableColumn id="7" name="REGIME_IR"/>
    <tableColumn id="8" name="REGIME_CONSUMO"/>
    <tableColumn id="9" name="REGIME_ESPECIAL"/>
    <tableColumn id="10" name="ID_VERSAO_NORMATIVA"/>
    <tableColumn id="11" name="ATIV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FISCAL_PARAM" displayName="tbl_FISCAL_PARAM" ref="A1:P20">
  <autoFilter ref="A1:P20"/>
  <tableColumns count="16">
    <tableColumn id="1" name="ID_PARAM"/>
    <tableColumn id="2" name="ID_VERSAO_NORMATIVA"/>
    <tableColumn id="3" name="ID_REGRA"/>
    <tableColumn id="4" name="TRIBUTO"/>
    <tableColumn id="5" name="CHAVE_PARAM"/>
    <tableColumn id="6" name="VALOR"/>
    <tableColumn id="7" name="TIPO_VALOR"/>
    <tableColumn id="8" name="TIPO_FONTE"/>
    <tableColumn id="9" name="FONTE_TITULO"/>
    <tableColumn id="10" name="FONTE_URL"/>
    <tableColumn id="11" name="DISPOSITIVO"/>
    <tableColumn id="12" name="VERSAO_NORMA"/>
    <tableColumn id="13" name="VIG_INI"/>
    <tableColumn id="14" name="VIG_FIM"/>
    <tableColumn id="15" name="DATA_CONSULTA"/>
    <tableColumn id="16" name="VERSAO_REGRA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ANALISE_PARAM" displayName="tbl_ANALISE_PARAM" ref="A1:E3">
  <autoFilter ref="A1:E3"/>
  <tableColumns count="5">
    <tableColumn id="1" name="ID_ANALISE"/>
    <tableColumn id="2" name="CHAVE_PARAM"/>
    <tableColumn id="3" name="VALOR"/>
    <tableColumn id="4" name="TIPO_VALOR"/>
    <tableColumn id="5" name="DESCRICA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SIMPLES_2027_RESULTADOS" displayName="tbl_SIMPLES_2027_RESULTADOS" ref="A1:AA3">
  <autoFilter ref="A1:AA3"/>
  <tableColumns count="27">
    <tableColumn id="1" name="ID_CENARIO"/>
    <tableColumn id="2" name="REGIME_CONSUMO"/>
    <tableColumn id="3" name="RECEITA_MES"/>
    <tableColumn id="4" name="RBT12"/>
    <tableColumn id="5" name="ALIQUOTA_EFETIVA_SIMPLES"/>
    <tableColumn id="6" name="DAS_TOTAL"/>
    <tableColumn id="7" name="DAS_CBS"/>
    <tableColumn id="8" name="DAS_IBS"/>
    <tableColumn id="9" name="DAS_OUTROS"/>
    <tableColumn id="10" name="CBS_REGULAR_RATE_FRACTION"/>
    <tableColumn id="11" name="CBS_RATE_SOURCE"/>
    <tableColumn id="12" name="CBS_DEBITO_REGULAR"/>
    <tableColumn id="13" name="CBS_CREDITO_EMPRESA_POTENCIAL"/>
    <tableColumn id="14" name="CBS_CREDITO_EMPRESA_MODELADO"/>
    <tableColumn id="15" name="CBS_VALOR_LIQUIDO_MODELADO"/>
    <tableColumn id="16" name="CBS_SALDO_CREDOR_MODELADO"/>
    <tableColumn id="17" name="IBS_REGULAR_RATE_FRACTION"/>
    <tableColumn id="18" name="IBS_DEBITO_REGULAR"/>
    <tableColumn id="19" name="IBS_CREDITO_EMPRESA_POTENCIAL"/>
    <tableColumn id="20" name="IBS_CREDITO_EMPRESA_MODELADO"/>
    <tableColumn id="21" name="IBS_VALOR_LIQUIDO_MODELADO"/>
    <tableColumn id="22" name="IBS_SALDO_CREDOR_MODELADO"/>
    <tableColumn id="23" name="ENCARGO_TRIBUTARIO_COMPARAVEL"/>
    <tableColumn id="24" name="CLIENTE_B2B_CREDITO_CBS_POTENCIAL"/>
    <tableColumn id="25" name="CLIENTE_B2B_CREDITO_IBS_POTENCIAL"/>
    <tableColumn id="26" name="STATUS_RESULTADO"/>
    <tableColumn id="27" name="VERSAO_REG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SIMPLES_2027_COMPARACAO" displayName="tbl_SIMPLES_2027_COMPARACAO" ref="A1:H6">
  <autoFilter ref="A1:H6"/>
  <tableColumns count="8">
    <tableColumn id="1" name="ID_CENARIO_BASE"/>
    <tableColumn id="2" name="ID_CENARIO"/>
    <tableColumn id="3" name="METRICA"/>
    <tableColumn id="4" name="BASELINE"/>
    <tableColumn id="5" name="ALTERNATIVO"/>
    <tableColumn id="6" name="DELTA"/>
    <tableColumn id="7" name="STATUS_BASELINE"/>
    <tableColumn id="8" name="STATUS_ALTERNATIV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VALIDACOES" displayName="tbl_VALIDACOES" ref="A1:K14">
  <autoFilter ref="A1:K14"/>
  <tableColumns count="11">
    <tableColumn id="1" name="ETAPA"/>
    <tableColumn id="2" name="OK"/>
    <tableColumn id="3" name="ISSUE_CODE"/>
    <tableColumn id="4" name="MENSAGEM"/>
    <tableColumn id="5" name="ACCOUNT_CODE"/>
    <tableColumn id="6" name="EVENT_ID"/>
    <tableColumn id="7" name="ENTRY_ID"/>
    <tableColumn id="8" name="POSTING_ID"/>
    <tableColumn id="9" name="ENTITY_ID"/>
    <tableColumn id="10" name="SCENARIO_ID"/>
    <tableColumn id="11" name="TAX_PARAM_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PROVENIENCIA" displayName="tbl_PROVENIENCIA" ref="A1:B19">
  <autoFilter ref="A1:B19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  <pageSetUpPr fitToPage="1"/>
  </sheetPr>
  <dimension ref="A1:F41"/>
  <sheetViews>
    <sheetView showGridLines="0" workbookViewId="0">
      <selection sqref="A1:F1"/>
    </sheetView>
  </sheetViews>
  <sheetFormatPr defaultRowHeight="14.4" x14ac:dyDescent="0.3"/>
  <cols>
    <col min="1" max="1" width="30" customWidth="1"/>
    <col min="2" max="2" width="20" customWidth="1"/>
    <col min="3" max="3" width="4" customWidth="1"/>
    <col min="4" max="4" width="34" customWidth="1"/>
    <col min="5" max="6" width="24" customWidth="1"/>
  </cols>
  <sheetData>
    <row r="1" spans="1:6" x14ac:dyDescent="0.3">
      <c r="A1" s="15" t="s">
        <v>0</v>
      </c>
      <c r="B1" s="13"/>
      <c r="C1" s="13"/>
      <c r="D1" s="13"/>
      <c r="E1" s="13"/>
      <c r="F1" s="13"/>
    </row>
    <row r="2" spans="1:6" x14ac:dyDescent="0.3">
      <c r="A2" s="14" t="s">
        <v>1</v>
      </c>
      <c r="B2" s="13"/>
      <c r="C2" s="13"/>
      <c r="D2" s="13"/>
      <c r="E2" s="13"/>
      <c r="F2" s="13"/>
    </row>
    <row r="3" spans="1:6" x14ac:dyDescent="0.3">
      <c r="A3" s="1"/>
      <c r="B3" s="1"/>
      <c r="C3" s="1"/>
      <c r="D3" s="1"/>
      <c r="E3" s="1"/>
      <c r="F3" s="1"/>
    </row>
    <row r="4" spans="1:6" x14ac:dyDescent="0.3">
      <c r="A4" s="12" t="s">
        <v>2</v>
      </c>
      <c r="B4" s="13"/>
      <c r="C4" s="1"/>
      <c r="D4" s="12" t="s">
        <v>3</v>
      </c>
      <c r="E4" s="13"/>
      <c r="F4" s="1"/>
    </row>
    <row r="5" spans="1:6" ht="28.8" x14ac:dyDescent="0.3">
      <c r="A5" s="2" t="s">
        <v>4</v>
      </c>
      <c r="B5" s="1" t="s">
        <v>5</v>
      </c>
      <c r="C5" s="1"/>
      <c r="D5" s="3" t="s">
        <v>6</v>
      </c>
      <c r="E5" s="1"/>
      <c r="F5" s="1"/>
    </row>
    <row r="6" spans="1:6" ht="28.8" x14ac:dyDescent="0.3">
      <c r="A6" s="2" t="s">
        <v>7</v>
      </c>
      <c r="B6" s="1" t="s">
        <v>8</v>
      </c>
      <c r="C6" s="1"/>
      <c r="D6" s="3" t="s">
        <v>9</v>
      </c>
      <c r="E6" s="1"/>
      <c r="F6" s="1"/>
    </row>
    <row r="7" spans="1:6" ht="15.6" x14ac:dyDescent="0.3">
      <c r="A7" s="2" t="s">
        <v>10</v>
      </c>
      <c r="B7" s="1" t="s">
        <v>11</v>
      </c>
      <c r="C7" s="1"/>
      <c r="D7" s="3" t="s">
        <v>12</v>
      </c>
      <c r="E7" s="1"/>
      <c r="F7" s="1"/>
    </row>
    <row r="8" spans="1:6" ht="15.6" x14ac:dyDescent="0.3">
      <c r="A8" s="2" t="s">
        <v>13</v>
      </c>
      <c r="B8" s="1" t="s">
        <v>14</v>
      </c>
      <c r="C8" s="1"/>
      <c r="D8" s="3" t="s">
        <v>15</v>
      </c>
      <c r="E8" s="1"/>
      <c r="F8" s="1"/>
    </row>
    <row r="9" spans="1:6" ht="15.6" x14ac:dyDescent="0.3">
      <c r="A9" s="2" t="s">
        <v>16</v>
      </c>
      <c r="B9" s="1">
        <v>2</v>
      </c>
      <c r="C9" s="1"/>
      <c r="D9" s="3" t="s">
        <v>17</v>
      </c>
      <c r="E9" s="1"/>
      <c r="F9" s="1"/>
    </row>
    <row r="10" spans="1:6" x14ac:dyDescent="0.3">
      <c r="A10" s="1"/>
      <c r="B10" s="1"/>
      <c r="C10" s="1"/>
      <c r="D10" s="1"/>
      <c r="E10" s="1"/>
      <c r="F10" s="1"/>
    </row>
    <row r="11" spans="1:6" x14ac:dyDescent="0.3">
      <c r="A11" s="1"/>
      <c r="B11" s="1"/>
      <c r="C11" s="1"/>
      <c r="D11" s="1"/>
      <c r="E11" s="1"/>
      <c r="F11" s="1"/>
    </row>
    <row r="12" spans="1:6" x14ac:dyDescent="0.3">
      <c r="A12" s="12" t="s">
        <v>18</v>
      </c>
      <c r="B12" s="13"/>
      <c r="C12" s="1"/>
      <c r="D12" s="12" t="s">
        <v>19</v>
      </c>
      <c r="E12" s="13"/>
      <c r="F12" s="1"/>
    </row>
    <row r="13" spans="1:6" x14ac:dyDescent="0.3">
      <c r="A13" s="4" t="s">
        <v>20</v>
      </c>
      <c r="B13" s="4" t="s">
        <v>21</v>
      </c>
      <c r="C13" s="1"/>
      <c r="D13" s="2" t="s">
        <v>22</v>
      </c>
      <c r="E13" s="5">
        <v>100000</v>
      </c>
      <c r="F13" s="1"/>
    </row>
    <row r="14" spans="1:6" x14ac:dyDescent="0.3">
      <c r="A14" s="1" t="s">
        <v>23</v>
      </c>
      <c r="B14" s="5">
        <v>200000</v>
      </c>
      <c r="C14" s="1"/>
      <c r="D14" s="2" t="s">
        <v>24</v>
      </c>
      <c r="E14" s="5">
        <v>-85000</v>
      </c>
      <c r="F14" s="1"/>
    </row>
    <row r="15" spans="1:6" x14ac:dyDescent="0.3">
      <c r="A15" s="1" t="s">
        <v>25</v>
      </c>
      <c r="B15" s="5">
        <v>85000</v>
      </c>
      <c r="C15" s="1"/>
      <c r="D15" s="2" t="s">
        <v>26</v>
      </c>
      <c r="E15" s="5">
        <v>15000</v>
      </c>
      <c r="F15" s="1"/>
    </row>
    <row r="16" spans="1:6" x14ac:dyDescent="0.3">
      <c r="A16" s="1" t="s">
        <v>27</v>
      </c>
      <c r="B16" s="5">
        <v>70000</v>
      </c>
      <c r="C16" s="1"/>
      <c r="D16" s="2" t="s">
        <v>28</v>
      </c>
      <c r="E16" s="5">
        <v>215000</v>
      </c>
      <c r="F16" s="1"/>
    </row>
    <row r="17" spans="1:6" x14ac:dyDescent="0.3">
      <c r="A17" s="1" t="s">
        <v>29</v>
      </c>
      <c r="B17" s="5">
        <v>30000</v>
      </c>
      <c r="C17" s="1"/>
      <c r="D17" s="2" t="s">
        <v>30</v>
      </c>
      <c r="E17" s="5">
        <v>0</v>
      </c>
      <c r="F17" s="1"/>
    </row>
    <row r="18" spans="1:6" x14ac:dyDescent="0.3">
      <c r="A18" s="1"/>
      <c r="B18" s="1"/>
      <c r="C18" s="1"/>
      <c r="D18" s="2" t="s">
        <v>31</v>
      </c>
      <c r="E18" s="5">
        <v>215000</v>
      </c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2" t="s">
        <v>32</v>
      </c>
      <c r="B23" s="13"/>
      <c r="C23" s="1"/>
      <c r="D23" s="12" t="s">
        <v>33</v>
      </c>
      <c r="E23" s="13"/>
      <c r="F23" s="1"/>
    </row>
    <row r="24" spans="1:6" x14ac:dyDescent="0.3">
      <c r="A24" s="2" t="s">
        <v>34</v>
      </c>
      <c r="B24" s="1" t="s">
        <v>35</v>
      </c>
      <c r="C24" s="1"/>
      <c r="D24" s="13" t="s">
        <v>36</v>
      </c>
      <c r="E24" s="13"/>
      <c r="F24" s="13"/>
    </row>
    <row r="25" spans="1:6" x14ac:dyDescent="0.3">
      <c r="A25" s="2" t="s">
        <v>37</v>
      </c>
      <c r="B25" s="5">
        <v>8825</v>
      </c>
      <c r="C25" s="1"/>
      <c r="D25" s="13"/>
      <c r="E25" s="13"/>
      <c r="F25" s="13"/>
    </row>
    <row r="26" spans="1:6" x14ac:dyDescent="0.3">
      <c r="A26" s="2" t="s">
        <v>38</v>
      </c>
      <c r="B26" s="5">
        <v>8825</v>
      </c>
      <c r="C26" s="1"/>
      <c r="D26" s="13"/>
      <c r="E26" s="13"/>
      <c r="F26" s="13"/>
    </row>
    <row r="27" spans="1:6" x14ac:dyDescent="0.3">
      <c r="A27" s="2" t="s">
        <v>39</v>
      </c>
      <c r="B27" s="5">
        <v>1352.87</v>
      </c>
      <c r="C27" s="1"/>
      <c r="D27" s="13"/>
      <c r="E27" s="13"/>
      <c r="F27" s="13"/>
    </row>
    <row r="28" spans="1:6" x14ac:dyDescent="0.3">
      <c r="A28" s="2" t="s">
        <v>40</v>
      </c>
      <c r="B28" s="5">
        <v>15</v>
      </c>
      <c r="C28" s="1"/>
      <c r="D28" s="1"/>
      <c r="E28" s="1"/>
      <c r="F28" s="1"/>
    </row>
    <row r="29" spans="1:6" x14ac:dyDescent="0.3">
      <c r="A29" s="2" t="s">
        <v>41</v>
      </c>
      <c r="B29" s="1" t="s">
        <v>42</v>
      </c>
      <c r="C29" s="1"/>
      <c r="D29" s="1"/>
      <c r="E29" s="1"/>
      <c r="F29" s="1"/>
    </row>
    <row r="30" spans="1:6" x14ac:dyDescent="0.3">
      <c r="A30" s="2" t="s">
        <v>43</v>
      </c>
      <c r="B30" s="1" t="s">
        <v>44</v>
      </c>
      <c r="C30" s="1"/>
      <c r="D30" s="1"/>
      <c r="E30" s="1"/>
      <c r="F30" s="1"/>
    </row>
    <row r="31" spans="1:6" x14ac:dyDescent="0.3">
      <c r="A31" s="1"/>
      <c r="B31" s="1"/>
      <c r="C31" s="1"/>
      <c r="D31" s="1"/>
      <c r="E31" s="1"/>
      <c r="F31" s="1"/>
    </row>
    <row r="32" spans="1:6" x14ac:dyDescent="0.3">
      <c r="A32" s="1"/>
      <c r="B32" s="1"/>
      <c r="C32" s="1"/>
      <c r="D32" s="1"/>
      <c r="E32" s="1"/>
      <c r="F32" s="1"/>
    </row>
    <row r="33" spans="1:6" x14ac:dyDescent="0.3">
      <c r="A33" s="1"/>
      <c r="B33" s="1"/>
      <c r="C33" s="1"/>
      <c r="D33" s="1"/>
      <c r="E33" s="1"/>
      <c r="F33" s="1"/>
    </row>
    <row r="34" spans="1:6" x14ac:dyDescent="0.3">
      <c r="A34" s="12" t="s">
        <v>45</v>
      </c>
      <c r="B34" s="13"/>
      <c r="C34" s="13"/>
      <c r="D34" s="13"/>
      <c r="E34" s="13"/>
      <c r="F34" s="1"/>
    </row>
    <row r="35" spans="1:6" ht="28.8" x14ac:dyDescent="0.3">
      <c r="A35" s="2" t="s">
        <v>46</v>
      </c>
      <c r="B35" s="5">
        <v>1200000</v>
      </c>
      <c r="C35" s="1"/>
      <c r="D35" s="1" t="s">
        <v>47</v>
      </c>
      <c r="E35" s="1"/>
      <c r="F35" s="1"/>
    </row>
    <row r="36" spans="1:6" x14ac:dyDescent="0.3">
      <c r="A36" s="2" t="s">
        <v>48</v>
      </c>
      <c r="B36" s="1" t="s">
        <v>49</v>
      </c>
      <c r="C36" s="1"/>
      <c r="D36" s="1" t="s">
        <v>50</v>
      </c>
      <c r="E36" s="1"/>
      <c r="F36" s="1"/>
    </row>
    <row r="37" spans="1:6" ht="28.8" x14ac:dyDescent="0.3">
      <c r="A37" s="2" t="s">
        <v>51</v>
      </c>
      <c r="B37" s="1" t="s">
        <v>35</v>
      </c>
      <c r="C37" s="1"/>
      <c r="D37" s="1" t="s">
        <v>52</v>
      </c>
      <c r="E37" s="1"/>
      <c r="F37" s="1"/>
    </row>
    <row r="38" spans="1:6" ht="28.8" x14ac:dyDescent="0.3">
      <c r="A38" s="2" t="s">
        <v>53</v>
      </c>
      <c r="B38" s="1" t="s">
        <v>54</v>
      </c>
      <c r="C38" s="1"/>
      <c r="D38" s="1" t="s">
        <v>55</v>
      </c>
      <c r="E38" s="1"/>
      <c r="F38" s="1"/>
    </row>
    <row r="39" spans="1:6" x14ac:dyDescent="0.3">
      <c r="A39" s="2" t="s">
        <v>56</v>
      </c>
      <c r="B39" s="5">
        <v>8825</v>
      </c>
      <c r="C39" s="1"/>
      <c r="D39" s="1"/>
      <c r="E39" s="1"/>
      <c r="F39" s="1"/>
    </row>
    <row r="40" spans="1:6" x14ac:dyDescent="0.3">
      <c r="A40" s="2" t="s">
        <v>57</v>
      </c>
      <c r="B40" s="5">
        <v>8822.1299999999992</v>
      </c>
      <c r="C40" s="1"/>
      <c r="D40" s="1"/>
      <c r="E40" s="1"/>
      <c r="F40" s="1"/>
    </row>
    <row r="41" spans="1:6" x14ac:dyDescent="0.3">
      <c r="A41" s="2" t="s">
        <v>58</v>
      </c>
      <c r="B41" s="5">
        <v>-2.87</v>
      </c>
      <c r="C41" s="1"/>
      <c r="D41" s="1"/>
      <c r="E41" s="1"/>
      <c r="F41" s="1"/>
    </row>
  </sheetData>
  <mergeCells count="10">
    <mergeCell ref="A4:B4"/>
    <mergeCell ref="A2:F2"/>
    <mergeCell ref="A34:E34"/>
    <mergeCell ref="D24:F27"/>
    <mergeCell ref="A1:F1"/>
    <mergeCell ref="D23:E23"/>
    <mergeCell ref="D4:E4"/>
    <mergeCell ref="A23:B23"/>
    <mergeCell ref="D12:E12"/>
    <mergeCell ref="A12:B12"/>
  </mergeCells>
  <hyperlinks>
    <hyperlink ref="D5" location="'ENTRADAS'!A1" display="Entradas editáveis"/>
    <hyperlink ref="D6" location="'COMPARACAO'!A1" display="Comparação de cenários"/>
    <hyperlink ref="D7" location="'BP'!A1" display="Balanço patrimonial"/>
    <hyperlink ref="D8" location="'DRE'!A1" display="Demonstração do resultado"/>
    <hyperlink ref="D9" location="'FISCAL_APURACAO'!A1" display="Apuração fiscal"/>
  </hyperlinks>
  <pageMargins left="0.3" right="0.3" top="0.5" bottom="0.5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  <pageSetUpPr fitToPage="1"/>
  </sheetPr>
  <dimension ref="A1:F27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10" customWidth="1"/>
    <col min="2" max="2" width="26" customWidth="1"/>
    <col min="3" max="3" width="38" customWidth="1"/>
    <col min="4" max="4" width="46" customWidth="1"/>
    <col min="5" max="5" width="22" customWidth="1"/>
  </cols>
  <sheetData>
    <row r="1" spans="1:6" x14ac:dyDescent="0.3">
      <c r="A1" s="15" t="s">
        <v>59</v>
      </c>
      <c r="B1" s="13"/>
      <c r="C1" s="13"/>
      <c r="D1" s="13"/>
      <c r="E1" s="13"/>
      <c r="F1" s="13"/>
    </row>
    <row r="2" spans="1:6" x14ac:dyDescent="0.3">
      <c r="A2" s="14" t="s">
        <v>60</v>
      </c>
      <c r="B2" s="13"/>
      <c r="C2" s="13"/>
      <c r="D2" s="13"/>
      <c r="E2" s="13"/>
      <c r="F2" s="13"/>
    </row>
    <row r="3" spans="1:6" x14ac:dyDescent="0.3">
      <c r="A3" s="1"/>
      <c r="B3" s="1"/>
      <c r="C3" s="1"/>
      <c r="D3" s="1"/>
      <c r="E3" s="1"/>
      <c r="F3" s="1"/>
    </row>
    <row r="4" spans="1:6" x14ac:dyDescent="0.3">
      <c r="A4" s="12" t="s">
        <v>61</v>
      </c>
      <c r="B4" s="13"/>
      <c r="C4" s="13"/>
      <c r="D4" s="13"/>
      <c r="E4" s="13"/>
      <c r="F4" s="1"/>
    </row>
    <row r="5" spans="1:6" x14ac:dyDescent="0.3">
      <c r="A5" s="4" t="s">
        <v>62</v>
      </c>
      <c r="B5" s="4" t="s">
        <v>63</v>
      </c>
      <c r="C5" s="4" t="s">
        <v>64</v>
      </c>
      <c r="D5" s="4" t="s">
        <v>65</v>
      </c>
      <c r="E5" s="4" t="s">
        <v>66</v>
      </c>
      <c r="F5" s="1"/>
    </row>
    <row r="6" spans="1:6" ht="15.6" x14ac:dyDescent="0.3">
      <c r="A6" s="1">
        <v>1</v>
      </c>
      <c r="B6" s="3" t="s">
        <v>67</v>
      </c>
      <c r="C6" s="1" t="s">
        <v>68</v>
      </c>
      <c r="D6" s="1" t="s">
        <v>69</v>
      </c>
      <c r="E6" s="1" t="s">
        <v>70</v>
      </c>
      <c r="F6" s="1"/>
    </row>
    <row r="7" spans="1:6" ht="15.6" x14ac:dyDescent="0.3">
      <c r="A7" s="1">
        <v>2</v>
      </c>
      <c r="B7" s="3" t="s">
        <v>71</v>
      </c>
      <c r="C7" s="1" t="s">
        <v>72</v>
      </c>
      <c r="D7" s="1" t="s">
        <v>73</v>
      </c>
      <c r="E7" s="1" t="s">
        <v>74</v>
      </c>
      <c r="F7" s="1"/>
    </row>
    <row r="8" spans="1:6" ht="15.6" x14ac:dyDescent="0.3">
      <c r="A8" s="1">
        <v>3</v>
      </c>
      <c r="B8" s="3" t="s">
        <v>75</v>
      </c>
      <c r="C8" s="1" t="s">
        <v>76</v>
      </c>
      <c r="D8" s="1" t="s">
        <v>77</v>
      </c>
      <c r="E8" s="1" t="s">
        <v>78</v>
      </c>
      <c r="F8" s="1"/>
    </row>
    <row r="9" spans="1:6" ht="15.6" x14ac:dyDescent="0.3">
      <c r="A9" s="1">
        <v>4</v>
      </c>
      <c r="B9" s="3" t="s">
        <v>79</v>
      </c>
      <c r="C9" s="1" t="s">
        <v>80</v>
      </c>
      <c r="D9" s="1" t="s">
        <v>81</v>
      </c>
      <c r="E9" s="1" t="s">
        <v>78</v>
      </c>
      <c r="F9" s="1"/>
    </row>
    <row r="10" spans="1:6" x14ac:dyDescent="0.3">
      <c r="A10" s="1"/>
      <c r="B10" s="1"/>
      <c r="C10" s="1"/>
      <c r="D10" s="1"/>
      <c r="E10" s="1"/>
      <c r="F10" s="1"/>
    </row>
    <row r="11" spans="1:6" x14ac:dyDescent="0.3">
      <c r="A11" s="1"/>
      <c r="B11" s="1"/>
      <c r="C11" s="1"/>
      <c r="D11" s="1"/>
      <c r="E11" s="1"/>
      <c r="F11" s="1"/>
    </row>
    <row r="12" spans="1:6" x14ac:dyDescent="0.3">
      <c r="A12" s="12" t="s">
        <v>82</v>
      </c>
      <c r="B12" s="13"/>
      <c r="C12" s="13"/>
      <c r="D12" s="13"/>
      <c r="E12" s="13"/>
      <c r="F12" s="1"/>
    </row>
    <row r="13" spans="1:6" x14ac:dyDescent="0.3">
      <c r="A13" s="4" t="s">
        <v>62</v>
      </c>
      <c r="B13" s="4" t="s">
        <v>63</v>
      </c>
      <c r="C13" s="4" t="s">
        <v>64</v>
      </c>
      <c r="D13" s="4" t="s">
        <v>65</v>
      </c>
      <c r="E13" s="4" t="s">
        <v>66</v>
      </c>
      <c r="F13" s="1"/>
    </row>
    <row r="14" spans="1:6" ht="15.6" x14ac:dyDescent="0.3">
      <c r="A14" s="1">
        <v>5</v>
      </c>
      <c r="B14" s="3" t="s">
        <v>83</v>
      </c>
      <c r="C14" s="1" t="s">
        <v>84</v>
      </c>
      <c r="D14" s="1" t="s">
        <v>85</v>
      </c>
      <c r="E14" s="1" t="s">
        <v>78</v>
      </c>
      <c r="F14" s="1"/>
    </row>
    <row r="15" spans="1:6" ht="15.6" x14ac:dyDescent="0.3">
      <c r="A15" s="1">
        <v>6</v>
      </c>
      <c r="B15" s="3" t="s">
        <v>86</v>
      </c>
      <c r="C15" s="1" t="s">
        <v>87</v>
      </c>
      <c r="D15" s="1" t="s">
        <v>88</v>
      </c>
      <c r="E15" s="1" t="s">
        <v>78</v>
      </c>
      <c r="F15" s="1"/>
    </row>
    <row r="16" spans="1:6" ht="15.6" x14ac:dyDescent="0.3">
      <c r="A16" s="1">
        <v>7</v>
      </c>
      <c r="B16" s="3" t="s">
        <v>89</v>
      </c>
      <c r="C16" s="1" t="s">
        <v>90</v>
      </c>
      <c r="D16" s="1" t="s">
        <v>91</v>
      </c>
      <c r="E16" s="1" t="s">
        <v>78</v>
      </c>
      <c r="F16" s="1"/>
    </row>
    <row r="17" spans="1:6" x14ac:dyDescent="0.3">
      <c r="A17" s="1"/>
      <c r="B17" s="1"/>
      <c r="C17" s="1"/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2" t="s">
        <v>92</v>
      </c>
      <c r="B19" s="13"/>
      <c r="C19" s="13"/>
      <c r="D19" s="13"/>
      <c r="E19" s="13"/>
      <c r="F19" s="1"/>
    </row>
    <row r="20" spans="1:6" x14ac:dyDescent="0.3">
      <c r="A20" s="4" t="s">
        <v>62</v>
      </c>
      <c r="B20" s="4" t="s">
        <v>63</v>
      </c>
      <c r="C20" s="4" t="s">
        <v>64</v>
      </c>
      <c r="D20" s="4" t="s">
        <v>65</v>
      </c>
      <c r="E20" s="4" t="s">
        <v>66</v>
      </c>
      <c r="F20" s="1"/>
    </row>
    <row r="21" spans="1:6" ht="15.6" x14ac:dyDescent="0.3">
      <c r="A21" s="1">
        <v>8</v>
      </c>
      <c r="B21" s="3" t="s">
        <v>93</v>
      </c>
      <c r="C21" s="1" t="s">
        <v>94</v>
      </c>
      <c r="D21" s="1" t="s">
        <v>95</v>
      </c>
      <c r="E21" s="1" t="s">
        <v>78</v>
      </c>
      <c r="F21" s="1"/>
    </row>
    <row r="22" spans="1:6" ht="15.6" x14ac:dyDescent="0.3">
      <c r="A22" s="1">
        <v>9</v>
      </c>
      <c r="B22" s="3" t="s">
        <v>96</v>
      </c>
      <c r="C22" s="1" t="s">
        <v>97</v>
      </c>
      <c r="D22" s="1" t="s">
        <v>98</v>
      </c>
      <c r="E22" s="1" t="s">
        <v>99</v>
      </c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2" t="s">
        <v>100</v>
      </c>
      <c r="B25" s="13"/>
      <c r="C25" s="13"/>
      <c r="D25" s="13"/>
      <c r="E25" s="13"/>
      <c r="F25" s="1"/>
    </row>
    <row r="26" spans="1:6" x14ac:dyDescent="0.3">
      <c r="A26" s="4" t="s">
        <v>62</v>
      </c>
      <c r="B26" s="4" t="s">
        <v>63</v>
      </c>
      <c r="C26" s="4" t="s">
        <v>64</v>
      </c>
      <c r="D26" s="4" t="s">
        <v>65</v>
      </c>
      <c r="E26" s="4" t="s">
        <v>66</v>
      </c>
      <c r="F26" s="1"/>
    </row>
    <row r="27" spans="1:6" ht="15.6" x14ac:dyDescent="0.3">
      <c r="A27" s="1">
        <v>10</v>
      </c>
      <c r="B27" s="3" t="s">
        <v>101</v>
      </c>
      <c r="C27" s="1" t="s">
        <v>102</v>
      </c>
      <c r="D27" s="1" t="s">
        <v>103</v>
      </c>
      <c r="E27" s="1" t="s">
        <v>78</v>
      </c>
      <c r="F27" s="1"/>
    </row>
  </sheetData>
  <mergeCells count="6">
    <mergeCell ref="A2:F2"/>
    <mergeCell ref="A12:E12"/>
    <mergeCell ref="A4:E4"/>
    <mergeCell ref="A1:F1"/>
    <mergeCell ref="A25:E25"/>
    <mergeCell ref="A19:E19"/>
  </mergeCells>
  <hyperlinks>
    <hyperlink ref="B6" location="'CONFIG'!A1" display="CONFIG"/>
    <hyperlink ref="B7" location="'ENTIDADE'!A1" display="ENTIDADE"/>
    <hyperlink ref="B8" location="'EVENTOS'!A1" display="EVENTOS"/>
    <hyperlink ref="B9" location="'EVENTOS_FISCAIS'!A1" display="EVENTOS_FISCAIS"/>
    <hyperlink ref="B14" location="'PLANO_CONTAS'!A1" display="PLANO_CONTAS"/>
    <hyperlink ref="B15" location="'MAPEAMENTO_CONTAS'!A1" display="MAPEAMENTO_CONTAS"/>
    <hyperlink ref="B16" location="'MAPEAMENTO_DF'!A1" display="MAPEAMENTO_DF"/>
    <hyperlink ref="B21" location="'CENARIOS_TRIBUTARIOS'!A1" display="CENARIOS_TRIBUTARIOS"/>
    <hyperlink ref="B22" location="'FISCAL_PARAM'!A1" display="FISCAL_PARAM"/>
    <hyperlink ref="B27" location="'ANALISE_PARAM'!A1" display="ANALISE_PARAM"/>
  </hyperlinks>
  <pageMargins left="0.3" right="0.3" top="0.5" bottom="0.5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  <pageSetUpPr fitToPage="1"/>
  </sheetPr>
  <dimension ref="A1:F36"/>
  <sheetViews>
    <sheetView showGridLines="0" tabSelected="1" workbookViewId="0">
      <pane ySplit="14" topLeftCell="A15" activePane="bottomLeft" state="frozen"/>
      <selection pane="bottomLeft" sqref="A1:F1"/>
    </sheetView>
  </sheetViews>
  <sheetFormatPr defaultRowHeight="14.4" x14ac:dyDescent="0.3"/>
  <cols>
    <col min="1" max="1" width="38" customWidth="1"/>
    <col min="2" max="3" width="22" customWidth="1"/>
    <col min="4" max="4" width="18" customWidth="1"/>
    <col min="5" max="5" width="24" customWidth="1"/>
  </cols>
  <sheetData>
    <row r="1" spans="1:6" x14ac:dyDescent="0.3">
      <c r="A1" s="15" t="s">
        <v>104</v>
      </c>
      <c r="B1" s="13"/>
      <c r="C1" s="13"/>
      <c r="D1" s="13"/>
      <c r="E1" s="13"/>
      <c r="F1" s="13"/>
    </row>
    <row r="2" spans="1:6" x14ac:dyDescent="0.3">
      <c r="A2" s="14" t="s">
        <v>105</v>
      </c>
      <c r="B2" s="13"/>
      <c r="C2" s="13"/>
      <c r="D2" s="13"/>
      <c r="E2" s="13"/>
      <c r="F2" s="13"/>
    </row>
    <row r="3" spans="1:6" x14ac:dyDescent="0.3">
      <c r="A3" s="1"/>
      <c r="B3" s="1"/>
      <c r="C3" s="1"/>
      <c r="D3" s="1"/>
      <c r="E3" s="1"/>
      <c r="F3" s="1"/>
    </row>
    <row r="4" spans="1:6" ht="31.2" x14ac:dyDescent="0.3">
      <c r="A4" s="2" t="s">
        <v>51</v>
      </c>
      <c r="B4" s="1" t="s">
        <v>106</v>
      </c>
      <c r="C4" s="1"/>
      <c r="D4" s="3" t="s">
        <v>107</v>
      </c>
      <c r="E4" s="1"/>
      <c r="F4" s="1"/>
    </row>
    <row r="5" spans="1:6" ht="31.2" x14ac:dyDescent="0.3">
      <c r="A5" s="2" t="s">
        <v>53</v>
      </c>
      <c r="B5" s="1" t="s">
        <v>108</v>
      </c>
      <c r="C5" s="1"/>
      <c r="D5" s="3" t="s">
        <v>109</v>
      </c>
      <c r="E5" s="1"/>
      <c r="F5" s="1"/>
    </row>
    <row r="6" spans="1:6" ht="31.2" x14ac:dyDescent="0.3">
      <c r="A6" s="2" t="s">
        <v>43</v>
      </c>
      <c r="B6" s="1" t="s">
        <v>44</v>
      </c>
      <c r="C6" s="1"/>
      <c r="D6" s="3" t="s">
        <v>110</v>
      </c>
      <c r="E6" s="1"/>
      <c r="F6" s="1"/>
    </row>
    <row r="7" spans="1:6" ht="31.2" x14ac:dyDescent="0.3">
      <c r="A7" s="1"/>
      <c r="B7" s="1"/>
      <c r="C7" s="1"/>
      <c r="D7" s="3" t="s">
        <v>111</v>
      </c>
      <c r="E7" s="1"/>
      <c r="F7" s="1"/>
    </row>
    <row r="8" spans="1:6" x14ac:dyDescent="0.3">
      <c r="A8" s="16" t="s">
        <v>112</v>
      </c>
      <c r="B8" s="13"/>
      <c r="C8" s="13"/>
      <c r="D8" s="13"/>
      <c r="E8" s="1"/>
      <c r="F8" s="1"/>
    </row>
    <row r="9" spans="1:6" x14ac:dyDescent="0.3">
      <c r="A9" s="1" t="s">
        <v>50</v>
      </c>
      <c r="B9" s="1"/>
      <c r="C9" s="1"/>
      <c r="D9" s="1"/>
      <c r="E9" s="1"/>
      <c r="F9" s="1"/>
    </row>
    <row r="10" spans="1:6" ht="28.8" x14ac:dyDescent="0.3">
      <c r="A10" s="1" t="s">
        <v>52</v>
      </c>
      <c r="B10" s="1"/>
      <c r="C10" s="1"/>
      <c r="D10" s="1"/>
      <c r="E10" s="1"/>
      <c r="F10" s="1"/>
    </row>
    <row r="11" spans="1:6" ht="43.2" x14ac:dyDescent="0.3">
      <c r="A11" s="1" t="s">
        <v>113</v>
      </c>
      <c r="B11" s="1"/>
      <c r="C11" s="1"/>
      <c r="D11" s="1"/>
      <c r="E11" s="1"/>
      <c r="F11" s="1"/>
    </row>
    <row r="12" spans="1:6" x14ac:dyDescent="0.3">
      <c r="A12" s="1"/>
      <c r="B12" s="1"/>
      <c r="C12" s="1"/>
      <c r="D12" s="1"/>
      <c r="E12" s="1"/>
      <c r="F12" s="1"/>
    </row>
    <row r="13" spans="1:6" x14ac:dyDescent="0.3">
      <c r="A13" s="1"/>
      <c r="B13" s="1"/>
      <c r="C13" s="1"/>
      <c r="D13" s="1"/>
      <c r="E13" s="1"/>
      <c r="F13" s="1"/>
    </row>
    <row r="14" spans="1:6" x14ac:dyDescent="0.3">
      <c r="A14" s="12" t="s">
        <v>114</v>
      </c>
      <c r="B14" s="13"/>
      <c r="C14" s="13"/>
      <c r="D14" s="13"/>
      <c r="E14" s="1"/>
      <c r="F14" s="1"/>
    </row>
    <row r="15" spans="1:6" x14ac:dyDescent="0.3">
      <c r="A15" s="4" t="s">
        <v>115</v>
      </c>
      <c r="B15" s="4" t="s">
        <v>116</v>
      </c>
      <c r="C15" s="4" t="s">
        <v>117</v>
      </c>
      <c r="D15" s="4" t="s">
        <v>118</v>
      </c>
      <c r="E15" s="1"/>
      <c r="F15" s="1"/>
    </row>
    <row r="16" spans="1:6" x14ac:dyDescent="0.3">
      <c r="A16" s="1" t="s">
        <v>38</v>
      </c>
      <c r="B16" s="5">
        <v>8825</v>
      </c>
      <c r="C16" s="1" t="s">
        <v>119</v>
      </c>
      <c r="D16" s="1" t="s">
        <v>119</v>
      </c>
      <c r="E16" s="1"/>
      <c r="F16" s="1"/>
    </row>
    <row r="17" spans="1:6" x14ac:dyDescent="0.3">
      <c r="A17" s="1" t="s">
        <v>39</v>
      </c>
      <c r="B17" s="5">
        <v>1352.87</v>
      </c>
      <c r="C17" s="1" t="s">
        <v>119</v>
      </c>
      <c r="D17" s="1" t="s">
        <v>119</v>
      </c>
      <c r="E17" s="1"/>
      <c r="F17" s="1"/>
    </row>
    <row r="18" spans="1:6" x14ac:dyDescent="0.3">
      <c r="A18" s="1" t="s">
        <v>40</v>
      </c>
      <c r="B18" s="5">
        <v>15</v>
      </c>
      <c r="C18" s="1" t="s">
        <v>119</v>
      </c>
      <c r="D18" s="1" t="s">
        <v>119</v>
      </c>
      <c r="E18" s="1"/>
      <c r="F18" s="1"/>
    </row>
    <row r="19" spans="1:6" x14ac:dyDescent="0.3">
      <c r="A19" s="1" t="s">
        <v>120</v>
      </c>
      <c r="B19" s="5">
        <v>7457.13</v>
      </c>
      <c r="C19" s="5">
        <v>7457.13</v>
      </c>
      <c r="D19" s="5">
        <v>0</v>
      </c>
      <c r="E19" s="1"/>
      <c r="F19" s="1"/>
    </row>
    <row r="20" spans="1:6" x14ac:dyDescent="0.3">
      <c r="A20" s="1" t="s">
        <v>121</v>
      </c>
      <c r="B20" s="1" t="s">
        <v>119</v>
      </c>
      <c r="C20" s="5">
        <v>1350</v>
      </c>
      <c r="D20" s="1" t="s">
        <v>119</v>
      </c>
      <c r="E20" s="1"/>
      <c r="F20" s="1"/>
    </row>
    <row r="21" spans="1:6" x14ac:dyDescent="0.3">
      <c r="A21" s="1" t="s">
        <v>122</v>
      </c>
      <c r="B21" s="1" t="s">
        <v>119</v>
      </c>
      <c r="C21" s="5">
        <v>15</v>
      </c>
      <c r="D21" s="1" t="s">
        <v>119</v>
      </c>
      <c r="E21" s="1"/>
      <c r="F21" s="1"/>
    </row>
    <row r="22" spans="1:6" x14ac:dyDescent="0.3">
      <c r="A22" s="1" t="s">
        <v>123</v>
      </c>
      <c r="B22" s="5">
        <v>8825</v>
      </c>
      <c r="C22" s="5">
        <v>8822.1299999999992</v>
      </c>
      <c r="D22" s="5">
        <v>-2.87</v>
      </c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2" t="s">
        <v>124</v>
      </c>
      <c r="B25" s="13"/>
      <c r="C25" s="13"/>
      <c r="D25" s="13"/>
      <c r="E25" s="1"/>
      <c r="F25" s="1"/>
    </row>
    <row r="26" spans="1:6" x14ac:dyDescent="0.3">
      <c r="A26" s="4" t="s">
        <v>115</v>
      </c>
      <c r="B26" s="4" t="s">
        <v>125</v>
      </c>
      <c r="C26" s="4" t="s">
        <v>126</v>
      </c>
      <c r="D26" s="4" t="s">
        <v>118</v>
      </c>
      <c r="E26" s="1"/>
      <c r="F26" s="1"/>
    </row>
    <row r="27" spans="1:6" x14ac:dyDescent="0.3">
      <c r="A27" s="1" t="s">
        <v>127</v>
      </c>
      <c r="B27" s="5">
        <v>0</v>
      </c>
      <c r="C27" s="5">
        <v>7650</v>
      </c>
      <c r="D27" s="5">
        <v>7650</v>
      </c>
      <c r="E27" s="1"/>
      <c r="F27" s="1"/>
    </row>
    <row r="28" spans="1:6" x14ac:dyDescent="0.3">
      <c r="A28" s="1" t="s">
        <v>128</v>
      </c>
      <c r="B28" s="5">
        <v>0</v>
      </c>
      <c r="C28" s="5">
        <v>85</v>
      </c>
      <c r="D28" s="5">
        <v>85</v>
      </c>
      <c r="E28" s="1"/>
      <c r="F28" s="1"/>
    </row>
    <row r="29" spans="1:6" x14ac:dyDescent="0.3">
      <c r="A29" s="1" t="s">
        <v>129</v>
      </c>
      <c r="B29" s="5">
        <v>947.01</v>
      </c>
      <c r="C29" s="5">
        <v>6300</v>
      </c>
      <c r="D29" s="5">
        <v>5352.99</v>
      </c>
      <c r="E29" s="1"/>
      <c r="F29" s="1"/>
    </row>
    <row r="30" spans="1:6" x14ac:dyDescent="0.3">
      <c r="A30" s="1" t="s">
        <v>130</v>
      </c>
      <c r="B30" s="5">
        <v>10.5</v>
      </c>
      <c r="C30" s="5">
        <v>70</v>
      </c>
      <c r="D30" s="5">
        <v>59.5</v>
      </c>
      <c r="E30" s="1"/>
      <c r="F30" s="1"/>
    </row>
    <row r="31" spans="1:6" x14ac:dyDescent="0.3">
      <c r="A31" s="1"/>
      <c r="B31" s="1"/>
      <c r="C31" s="1"/>
      <c r="D31" s="1"/>
      <c r="E31" s="1"/>
      <c r="F31" s="1"/>
    </row>
    <row r="32" spans="1:6" x14ac:dyDescent="0.3">
      <c r="A32" s="1"/>
      <c r="B32" s="1"/>
      <c r="C32" s="1"/>
      <c r="D32" s="1"/>
      <c r="E32" s="1"/>
      <c r="F32" s="1"/>
    </row>
    <row r="33" spans="1:6" x14ac:dyDescent="0.3">
      <c r="A33" s="12" t="s">
        <v>131</v>
      </c>
      <c r="B33" s="13"/>
      <c r="C33" s="13"/>
      <c r="D33" s="13"/>
      <c r="E33" s="1"/>
      <c r="F33" s="1"/>
    </row>
    <row r="34" spans="1:6" x14ac:dyDescent="0.3">
      <c r="A34" s="13" t="s">
        <v>132</v>
      </c>
      <c r="B34" s="13"/>
      <c r="C34" s="13"/>
      <c r="D34" s="13"/>
      <c r="E34" s="1"/>
      <c r="F34" s="1"/>
    </row>
    <row r="35" spans="1:6" x14ac:dyDescent="0.3">
      <c r="A35" s="13"/>
      <c r="B35" s="13"/>
      <c r="C35" s="13"/>
      <c r="D35" s="13"/>
      <c r="E35" s="1"/>
      <c r="F35" s="1"/>
    </row>
    <row r="36" spans="1:6" x14ac:dyDescent="0.3">
      <c r="A36" s="13" t="s">
        <v>133</v>
      </c>
      <c r="B36" s="13"/>
      <c r="C36" s="13"/>
      <c r="D36" s="13"/>
      <c r="E36" s="1"/>
      <c r="F36" s="1"/>
    </row>
  </sheetData>
  <mergeCells count="8">
    <mergeCell ref="A36:D36"/>
    <mergeCell ref="A14:D14"/>
    <mergeCell ref="A2:F2"/>
    <mergeCell ref="A8:D8"/>
    <mergeCell ref="A34:D35"/>
    <mergeCell ref="A1:F1"/>
    <mergeCell ref="A25:D25"/>
    <mergeCell ref="A33:D33"/>
  </mergeCells>
  <hyperlinks>
    <hyperlink ref="D4" location="'SIMPLES_2027_RESULTADOS'!A1" display="Resultados Simples 2027"/>
    <hyperlink ref="D5" location="'SIMPLES_2027_COMPARACAO'!A1" display="Comparação Simples 2027"/>
    <hyperlink ref="D6" location="'ANALISE_PARAM'!A1" display="Hipóteses analíticas"/>
    <hyperlink ref="D7" location="'CENARIOS_TRIBUTARIOS'!A1" display="Cenários tributários"/>
  </hyperlinks>
  <pageMargins left="0.3" right="0.3" top="0.5" bottom="0.5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B11"/>
  <sheetViews>
    <sheetView workbookViewId="0"/>
  </sheetViews>
  <sheetFormatPr defaultRowHeight="14.4" x14ac:dyDescent="0.3"/>
  <cols>
    <col min="1" max="1" width="24" customWidth="1"/>
    <col min="2" max="2" width="96" customWidth="1"/>
  </cols>
  <sheetData>
    <row r="1" spans="1:2" ht="18" x14ac:dyDescent="0.35">
      <c r="A1" s="6" t="s">
        <v>134</v>
      </c>
    </row>
    <row r="2" spans="1:2" x14ac:dyDescent="0.3">
      <c r="A2" t="s">
        <v>135</v>
      </c>
      <c r="B2" t="s">
        <v>136</v>
      </c>
    </row>
    <row r="3" spans="1:2" x14ac:dyDescent="0.3">
      <c r="A3" t="s">
        <v>137</v>
      </c>
      <c r="B3" t="s">
        <v>138</v>
      </c>
    </row>
    <row r="4" spans="1:2" x14ac:dyDescent="0.3">
      <c r="A4" t="s">
        <v>139</v>
      </c>
      <c r="B4" t="s">
        <v>140</v>
      </c>
    </row>
    <row r="5" spans="1:2" x14ac:dyDescent="0.3">
      <c r="A5" t="s">
        <v>141</v>
      </c>
      <c r="B5" t="s">
        <v>142</v>
      </c>
    </row>
    <row r="6" spans="1:2" x14ac:dyDescent="0.3">
      <c r="A6" t="s">
        <v>143</v>
      </c>
      <c r="B6" t="s">
        <v>144</v>
      </c>
    </row>
    <row r="7" spans="1:2" x14ac:dyDescent="0.3">
      <c r="A7" t="s">
        <v>145</v>
      </c>
      <c r="B7" t="s">
        <v>146</v>
      </c>
    </row>
    <row r="8" spans="1:2" x14ac:dyDescent="0.3">
      <c r="A8" t="s">
        <v>96</v>
      </c>
      <c r="B8" t="s">
        <v>147</v>
      </c>
    </row>
    <row r="9" spans="1:2" x14ac:dyDescent="0.3">
      <c r="A9" t="s">
        <v>101</v>
      </c>
      <c r="B9" t="s">
        <v>148</v>
      </c>
    </row>
    <row r="10" spans="1:2" x14ac:dyDescent="0.3">
      <c r="A10" t="s">
        <v>149</v>
      </c>
      <c r="B10" t="s">
        <v>150</v>
      </c>
    </row>
    <row r="11" spans="1:2" x14ac:dyDescent="0.3">
      <c r="A11" t="s">
        <v>151</v>
      </c>
      <c r="B11" t="s">
        <v>152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B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</cols>
  <sheetData>
    <row r="1" spans="1:2" x14ac:dyDescent="0.3">
      <c r="A1" s="7" t="s">
        <v>153</v>
      </c>
      <c r="B1" s="7" t="s">
        <v>154</v>
      </c>
    </row>
    <row r="2" spans="1:2" x14ac:dyDescent="0.3">
      <c r="A2" t="s">
        <v>155</v>
      </c>
      <c r="B2" t="s">
        <v>156</v>
      </c>
    </row>
    <row r="3" spans="1:2" x14ac:dyDescent="0.3">
      <c r="A3" t="s">
        <v>157</v>
      </c>
      <c r="B3" s="8">
        <v>46388</v>
      </c>
    </row>
    <row r="4" spans="1:2" x14ac:dyDescent="0.3">
      <c r="A4" t="s">
        <v>158</v>
      </c>
      <c r="B4" s="8">
        <v>46418</v>
      </c>
    </row>
    <row r="5" spans="1:2" x14ac:dyDescent="0.3">
      <c r="A5" t="s">
        <v>159</v>
      </c>
      <c r="B5" t="s">
        <v>11</v>
      </c>
    </row>
    <row r="6" spans="1:2" x14ac:dyDescent="0.3">
      <c r="A6" t="s">
        <v>160</v>
      </c>
      <c r="B6">
        <v>0</v>
      </c>
    </row>
    <row r="7" spans="1:2" x14ac:dyDescent="0.3">
      <c r="A7" t="s">
        <v>161</v>
      </c>
      <c r="B7" t="s">
        <v>162</v>
      </c>
    </row>
    <row r="8" spans="1:2" x14ac:dyDescent="0.3">
      <c r="A8" t="s">
        <v>163</v>
      </c>
      <c r="B8" t="s">
        <v>136</v>
      </c>
    </row>
  </sheetData>
  <dataValidations count="1">
    <dataValidation type="list" allowBlank="1" sqref="B5">
      <formula1>"BRL"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E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5" width="12" customWidth="1"/>
  </cols>
  <sheetData>
    <row r="1" spans="1:5" x14ac:dyDescent="0.3">
      <c r="A1" s="7" t="s">
        <v>164</v>
      </c>
      <c r="B1" s="7" t="s">
        <v>165</v>
      </c>
      <c r="C1" s="7" t="s">
        <v>154</v>
      </c>
      <c r="D1" s="7" t="s">
        <v>166</v>
      </c>
      <c r="E1" s="7" t="s">
        <v>167</v>
      </c>
    </row>
    <row r="2" spans="1:5" x14ac:dyDescent="0.3">
      <c r="A2" t="s">
        <v>168</v>
      </c>
      <c r="B2" t="s">
        <v>169</v>
      </c>
      <c r="C2" t="s">
        <v>5</v>
      </c>
      <c r="D2" t="s">
        <v>170</v>
      </c>
      <c r="E2" t="s">
        <v>171</v>
      </c>
    </row>
    <row r="3" spans="1:5" x14ac:dyDescent="0.3">
      <c r="A3" t="s">
        <v>168</v>
      </c>
      <c r="B3" t="s">
        <v>172</v>
      </c>
      <c r="C3" t="s">
        <v>173</v>
      </c>
      <c r="D3" t="s">
        <v>170</v>
      </c>
      <c r="E3" t="s">
        <v>171</v>
      </c>
    </row>
    <row r="4" spans="1:5" x14ac:dyDescent="0.3">
      <c r="A4" t="s">
        <v>168</v>
      </c>
      <c r="B4" t="s">
        <v>174</v>
      </c>
      <c r="C4" t="s">
        <v>175</v>
      </c>
      <c r="D4" t="s">
        <v>170</v>
      </c>
      <c r="E4" t="s">
        <v>171</v>
      </c>
    </row>
    <row r="5" spans="1:5" x14ac:dyDescent="0.3">
      <c r="A5" t="s">
        <v>168</v>
      </c>
      <c r="B5" t="s">
        <v>176</v>
      </c>
      <c r="C5" t="s">
        <v>177</v>
      </c>
      <c r="D5" t="s">
        <v>178</v>
      </c>
      <c r="E5" t="s">
        <v>171</v>
      </c>
    </row>
    <row r="6" spans="1:5" x14ac:dyDescent="0.3">
      <c r="A6" t="s">
        <v>168</v>
      </c>
      <c r="B6" t="s">
        <v>179</v>
      </c>
      <c r="C6" t="s">
        <v>49</v>
      </c>
      <c r="D6" t="s">
        <v>170</v>
      </c>
      <c r="E6" t="s">
        <v>171</v>
      </c>
    </row>
    <row r="7" spans="1:5" x14ac:dyDescent="0.3">
      <c r="A7" t="s">
        <v>168</v>
      </c>
      <c r="B7" t="s">
        <v>180</v>
      </c>
      <c r="C7" t="s">
        <v>181</v>
      </c>
      <c r="D7" t="s">
        <v>182</v>
      </c>
      <c r="E7" t="s">
        <v>171</v>
      </c>
    </row>
  </sheetData>
  <dataValidations count="2">
    <dataValidation type="list" allowBlank="1" sqref="D2:D1000">
      <formula1>"str,int,decimal,bool,date"</formula1>
    </dataValidation>
    <dataValidation type="list" allowBlank="1" sqref="E2:E1000">
      <formula1>"observada,sintética,template,ajustada"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K4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4" width="12" customWidth="1"/>
    <col min="5" max="6" width="22" customWidth="1"/>
    <col min="7" max="7" width="12" customWidth="1"/>
    <col min="8" max="8" width="18" customWidth="1"/>
    <col min="9" max="11" width="12" customWidth="1"/>
  </cols>
  <sheetData>
    <row r="1" spans="1:11" x14ac:dyDescent="0.3">
      <c r="A1" s="7" t="s">
        <v>183</v>
      </c>
      <c r="B1" s="7" t="s">
        <v>184</v>
      </c>
      <c r="C1" s="7" t="s">
        <v>185</v>
      </c>
      <c r="D1" s="7" t="s">
        <v>186</v>
      </c>
      <c r="E1" s="7" t="s">
        <v>187</v>
      </c>
      <c r="F1" s="7" t="s">
        <v>188</v>
      </c>
      <c r="G1" s="7" t="s">
        <v>189</v>
      </c>
      <c r="H1" s="7" t="s">
        <v>190</v>
      </c>
      <c r="I1" s="7" t="s">
        <v>143</v>
      </c>
      <c r="J1" s="7" t="s">
        <v>191</v>
      </c>
      <c r="K1" s="7" t="s">
        <v>167</v>
      </c>
    </row>
    <row r="2" spans="1:11" x14ac:dyDescent="0.3">
      <c r="A2" s="8">
        <v>46388</v>
      </c>
      <c r="B2" t="s">
        <v>192</v>
      </c>
      <c r="C2" t="s">
        <v>193</v>
      </c>
      <c r="D2">
        <v>1</v>
      </c>
      <c r="E2" t="s">
        <v>194</v>
      </c>
      <c r="G2" t="s">
        <v>195</v>
      </c>
      <c r="H2" t="s">
        <v>196</v>
      </c>
      <c r="J2" t="b">
        <v>1</v>
      </c>
      <c r="K2" t="s">
        <v>197</v>
      </c>
    </row>
    <row r="3" spans="1:11" x14ac:dyDescent="0.3">
      <c r="A3" s="8">
        <v>46388</v>
      </c>
      <c r="B3" t="s">
        <v>192</v>
      </c>
      <c r="C3" t="s">
        <v>193</v>
      </c>
      <c r="D3">
        <v>2</v>
      </c>
      <c r="E3" t="s">
        <v>198</v>
      </c>
      <c r="F3" t="s">
        <v>194</v>
      </c>
      <c r="G3" t="s">
        <v>199</v>
      </c>
      <c r="H3" t="s">
        <v>196</v>
      </c>
      <c r="J3" t="b">
        <v>1</v>
      </c>
      <c r="K3" t="s">
        <v>197</v>
      </c>
    </row>
    <row r="4" spans="1:11" x14ac:dyDescent="0.3">
      <c r="A4" s="8">
        <v>46388</v>
      </c>
      <c r="B4" t="s">
        <v>192</v>
      </c>
      <c r="C4" t="s">
        <v>193</v>
      </c>
      <c r="D4">
        <v>3</v>
      </c>
      <c r="E4" t="s">
        <v>200</v>
      </c>
      <c r="F4" t="s">
        <v>198</v>
      </c>
      <c r="G4" t="s">
        <v>201</v>
      </c>
      <c r="H4" t="s">
        <v>196</v>
      </c>
      <c r="J4" t="b">
        <v>1</v>
      </c>
      <c r="K4" t="s">
        <v>197</v>
      </c>
    </row>
    <row r="5" spans="1:11" x14ac:dyDescent="0.3">
      <c r="A5" s="8">
        <v>46388</v>
      </c>
      <c r="B5" t="s">
        <v>192</v>
      </c>
      <c r="C5" t="s">
        <v>202</v>
      </c>
      <c r="D5">
        <v>4</v>
      </c>
      <c r="E5" t="s">
        <v>203</v>
      </c>
      <c r="F5" t="s">
        <v>200</v>
      </c>
      <c r="G5" t="s">
        <v>204</v>
      </c>
      <c r="H5" t="s">
        <v>196</v>
      </c>
      <c r="I5" t="s">
        <v>205</v>
      </c>
      <c r="J5" t="b">
        <v>1</v>
      </c>
      <c r="K5" t="s">
        <v>197</v>
      </c>
    </row>
    <row r="6" spans="1:11" x14ac:dyDescent="0.3">
      <c r="A6" s="8">
        <v>46388</v>
      </c>
      <c r="B6" t="s">
        <v>192</v>
      </c>
      <c r="C6" t="s">
        <v>202</v>
      </c>
      <c r="D6">
        <v>4</v>
      </c>
      <c r="E6" t="s">
        <v>206</v>
      </c>
      <c r="F6" t="s">
        <v>200</v>
      </c>
      <c r="G6" t="s">
        <v>207</v>
      </c>
      <c r="H6" t="s">
        <v>196</v>
      </c>
      <c r="I6" t="s">
        <v>208</v>
      </c>
      <c r="J6" t="b">
        <v>1</v>
      </c>
      <c r="K6" t="s">
        <v>197</v>
      </c>
    </row>
    <row r="7" spans="1:11" x14ac:dyDescent="0.3">
      <c r="A7" s="8">
        <v>46388</v>
      </c>
      <c r="B7" t="s">
        <v>192</v>
      </c>
      <c r="C7" t="s">
        <v>193</v>
      </c>
      <c r="D7">
        <v>3</v>
      </c>
      <c r="E7" t="s">
        <v>209</v>
      </c>
      <c r="F7" t="s">
        <v>198</v>
      </c>
      <c r="G7" t="s">
        <v>210</v>
      </c>
      <c r="H7" t="s">
        <v>196</v>
      </c>
      <c r="J7" t="b">
        <v>1</v>
      </c>
      <c r="K7" t="s">
        <v>197</v>
      </c>
    </row>
    <row r="8" spans="1:11" x14ac:dyDescent="0.3">
      <c r="A8" s="8">
        <v>46388</v>
      </c>
      <c r="B8" t="s">
        <v>192</v>
      </c>
      <c r="C8" t="s">
        <v>202</v>
      </c>
      <c r="D8">
        <v>4</v>
      </c>
      <c r="E8" t="s">
        <v>211</v>
      </c>
      <c r="F8" t="s">
        <v>209</v>
      </c>
      <c r="G8" t="s">
        <v>210</v>
      </c>
      <c r="H8" t="s">
        <v>196</v>
      </c>
      <c r="I8" t="s">
        <v>212</v>
      </c>
      <c r="J8" t="b">
        <v>1</v>
      </c>
      <c r="K8" t="s">
        <v>197</v>
      </c>
    </row>
    <row r="9" spans="1:11" x14ac:dyDescent="0.3">
      <c r="A9" s="8">
        <v>46388</v>
      </c>
      <c r="B9" t="s">
        <v>192</v>
      </c>
      <c r="C9" t="s">
        <v>193</v>
      </c>
      <c r="D9">
        <v>3</v>
      </c>
      <c r="E9" t="s">
        <v>213</v>
      </c>
      <c r="F9" t="s">
        <v>198</v>
      </c>
      <c r="G9" t="s">
        <v>214</v>
      </c>
      <c r="H9" t="s">
        <v>196</v>
      </c>
      <c r="J9" t="b">
        <v>1</v>
      </c>
      <c r="K9" t="s">
        <v>197</v>
      </c>
    </row>
    <row r="10" spans="1:11" x14ac:dyDescent="0.3">
      <c r="A10" s="8">
        <v>46388</v>
      </c>
      <c r="B10" t="s">
        <v>192</v>
      </c>
      <c r="C10" t="s">
        <v>202</v>
      </c>
      <c r="D10">
        <v>4</v>
      </c>
      <c r="E10" t="s">
        <v>215</v>
      </c>
      <c r="F10" t="s">
        <v>213</v>
      </c>
      <c r="G10" t="s">
        <v>216</v>
      </c>
      <c r="H10" t="s">
        <v>196</v>
      </c>
      <c r="I10" t="s">
        <v>217</v>
      </c>
      <c r="J10" t="b">
        <v>1</v>
      </c>
      <c r="K10" t="s">
        <v>197</v>
      </c>
    </row>
    <row r="11" spans="1:11" x14ac:dyDescent="0.3">
      <c r="A11" s="8">
        <v>46388</v>
      </c>
      <c r="B11" t="s">
        <v>192</v>
      </c>
      <c r="C11" t="s">
        <v>193</v>
      </c>
      <c r="D11">
        <v>3</v>
      </c>
      <c r="E11" t="s">
        <v>218</v>
      </c>
      <c r="F11" t="s">
        <v>198</v>
      </c>
      <c r="G11" t="s">
        <v>219</v>
      </c>
      <c r="H11" t="s">
        <v>196</v>
      </c>
      <c r="J11" t="b">
        <v>1</v>
      </c>
      <c r="K11" t="s">
        <v>197</v>
      </c>
    </row>
    <row r="12" spans="1:11" x14ac:dyDescent="0.3">
      <c r="A12" s="8">
        <v>46388</v>
      </c>
      <c r="B12" t="s">
        <v>192</v>
      </c>
      <c r="C12" t="s">
        <v>202</v>
      </c>
      <c r="D12">
        <v>4</v>
      </c>
      <c r="E12" t="s">
        <v>220</v>
      </c>
      <c r="F12" t="s">
        <v>218</v>
      </c>
      <c r="G12" t="s">
        <v>219</v>
      </c>
      <c r="H12" t="s">
        <v>196</v>
      </c>
      <c r="I12" t="s">
        <v>221</v>
      </c>
      <c r="J12" t="b">
        <v>1</v>
      </c>
      <c r="K12" t="s">
        <v>197</v>
      </c>
    </row>
    <row r="13" spans="1:11" x14ac:dyDescent="0.3">
      <c r="A13" s="8">
        <v>46388</v>
      </c>
      <c r="B13" t="s">
        <v>192</v>
      </c>
      <c r="C13" t="s">
        <v>193</v>
      </c>
      <c r="D13">
        <v>2</v>
      </c>
      <c r="E13" t="s">
        <v>222</v>
      </c>
      <c r="F13" t="s">
        <v>194</v>
      </c>
      <c r="G13" t="s">
        <v>223</v>
      </c>
      <c r="H13" t="s">
        <v>196</v>
      </c>
      <c r="J13" t="b">
        <v>1</v>
      </c>
      <c r="K13" t="s">
        <v>197</v>
      </c>
    </row>
    <row r="14" spans="1:11" x14ac:dyDescent="0.3">
      <c r="A14" s="8">
        <v>46388</v>
      </c>
      <c r="B14" t="s">
        <v>192</v>
      </c>
      <c r="C14" t="s">
        <v>193</v>
      </c>
      <c r="D14">
        <v>3</v>
      </c>
      <c r="E14" t="s">
        <v>224</v>
      </c>
      <c r="F14" t="s">
        <v>222</v>
      </c>
      <c r="G14" t="s">
        <v>225</v>
      </c>
      <c r="H14" t="s">
        <v>196</v>
      </c>
      <c r="J14" t="b">
        <v>1</v>
      </c>
      <c r="K14" t="s">
        <v>197</v>
      </c>
    </row>
    <row r="15" spans="1:11" x14ac:dyDescent="0.3">
      <c r="A15" s="8">
        <v>46388</v>
      </c>
      <c r="B15" t="s">
        <v>192</v>
      </c>
      <c r="C15" t="s">
        <v>202</v>
      </c>
      <c r="D15">
        <v>4</v>
      </c>
      <c r="E15" t="s">
        <v>226</v>
      </c>
      <c r="F15" t="s">
        <v>224</v>
      </c>
      <c r="G15" t="s">
        <v>227</v>
      </c>
      <c r="H15" t="s">
        <v>196</v>
      </c>
      <c r="I15" t="s">
        <v>228</v>
      </c>
      <c r="J15" t="b">
        <v>1</v>
      </c>
      <c r="K15" t="s">
        <v>197</v>
      </c>
    </row>
    <row r="16" spans="1:11" x14ac:dyDescent="0.3">
      <c r="A16" s="8">
        <v>46388</v>
      </c>
      <c r="B16" t="s">
        <v>192</v>
      </c>
      <c r="C16" t="s">
        <v>202</v>
      </c>
      <c r="D16">
        <v>4</v>
      </c>
      <c r="E16" t="s">
        <v>229</v>
      </c>
      <c r="F16" t="s">
        <v>224</v>
      </c>
      <c r="G16" t="s">
        <v>230</v>
      </c>
      <c r="H16" t="s">
        <v>231</v>
      </c>
      <c r="I16" t="s">
        <v>232</v>
      </c>
      <c r="J16" t="b">
        <v>1</v>
      </c>
      <c r="K16" t="s">
        <v>197</v>
      </c>
    </row>
    <row r="17" spans="1:11" x14ac:dyDescent="0.3">
      <c r="A17" s="8">
        <v>46388</v>
      </c>
      <c r="B17" t="s">
        <v>233</v>
      </c>
      <c r="C17" t="s">
        <v>193</v>
      </c>
      <c r="D17">
        <v>1</v>
      </c>
      <c r="E17" t="s">
        <v>234</v>
      </c>
      <c r="G17" t="s">
        <v>30</v>
      </c>
      <c r="H17" t="s">
        <v>231</v>
      </c>
      <c r="J17" t="b">
        <v>1</v>
      </c>
      <c r="K17" t="s">
        <v>197</v>
      </c>
    </row>
    <row r="18" spans="1:11" x14ac:dyDescent="0.3">
      <c r="A18" s="8">
        <v>46388</v>
      </c>
      <c r="B18" t="s">
        <v>233</v>
      </c>
      <c r="C18" t="s">
        <v>193</v>
      </c>
      <c r="D18">
        <v>2</v>
      </c>
      <c r="E18" t="s">
        <v>235</v>
      </c>
      <c r="F18" t="s">
        <v>234</v>
      </c>
      <c r="G18" t="s">
        <v>236</v>
      </c>
      <c r="H18" t="s">
        <v>231</v>
      </c>
      <c r="J18" t="b">
        <v>1</v>
      </c>
      <c r="K18" t="s">
        <v>197</v>
      </c>
    </row>
    <row r="19" spans="1:11" x14ac:dyDescent="0.3">
      <c r="A19" s="8">
        <v>46388</v>
      </c>
      <c r="B19" t="s">
        <v>233</v>
      </c>
      <c r="C19" t="s">
        <v>193</v>
      </c>
      <c r="D19">
        <v>3</v>
      </c>
      <c r="E19" t="s">
        <v>237</v>
      </c>
      <c r="F19" t="s">
        <v>235</v>
      </c>
      <c r="G19" t="s">
        <v>238</v>
      </c>
      <c r="H19" t="s">
        <v>231</v>
      </c>
      <c r="J19" t="b">
        <v>1</v>
      </c>
      <c r="K19" t="s">
        <v>197</v>
      </c>
    </row>
    <row r="20" spans="1:11" x14ac:dyDescent="0.3">
      <c r="A20" s="8">
        <v>46388</v>
      </c>
      <c r="B20" t="s">
        <v>233</v>
      </c>
      <c r="C20" t="s">
        <v>202</v>
      </c>
      <c r="D20">
        <v>4</v>
      </c>
      <c r="E20" t="s">
        <v>239</v>
      </c>
      <c r="F20" t="s">
        <v>237</v>
      </c>
      <c r="G20" t="s">
        <v>238</v>
      </c>
      <c r="H20" t="s">
        <v>231</v>
      </c>
      <c r="I20" t="s">
        <v>240</v>
      </c>
      <c r="J20" t="b">
        <v>1</v>
      </c>
      <c r="K20" t="s">
        <v>197</v>
      </c>
    </row>
    <row r="21" spans="1:11" x14ac:dyDescent="0.3">
      <c r="A21" s="8">
        <v>46388</v>
      </c>
      <c r="B21" t="s">
        <v>233</v>
      </c>
      <c r="C21" t="s">
        <v>193</v>
      </c>
      <c r="D21">
        <v>3</v>
      </c>
      <c r="E21" t="s">
        <v>241</v>
      </c>
      <c r="F21" t="s">
        <v>235</v>
      </c>
      <c r="G21" t="s">
        <v>242</v>
      </c>
      <c r="H21" t="s">
        <v>231</v>
      </c>
      <c r="J21" t="b">
        <v>1</v>
      </c>
      <c r="K21" t="s">
        <v>197</v>
      </c>
    </row>
    <row r="22" spans="1:11" x14ac:dyDescent="0.3">
      <c r="A22" s="8">
        <v>46388</v>
      </c>
      <c r="B22" t="s">
        <v>233</v>
      </c>
      <c r="C22" t="s">
        <v>202</v>
      </c>
      <c r="D22">
        <v>4</v>
      </c>
      <c r="E22" t="s">
        <v>243</v>
      </c>
      <c r="F22" t="s">
        <v>241</v>
      </c>
      <c r="G22" t="s">
        <v>244</v>
      </c>
      <c r="H22" t="s">
        <v>231</v>
      </c>
      <c r="I22" t="s">
        <v>245</v>
      </c>
      <c r="J22" t="b">
        <v>1</v>
      </c>
      <c r="K22" t="s">
        <v>197</v>
      </c>
    </row>
    <row r="23" spans="1:11" x14ac:dyDescent="0.3">
      <c r="A23" s="8">
        <v>46388</v>
      </c>
      <c r="B23" t="s">
        <v>233</v>
      </c>
      <c r="C23" t="s">
        <v>193</v>
      </c>
      <c r="D23">
        <v>3</v>
      </c>
      <c r="E23" t="s">
        <v>246</v>
      </c>
      <c r="F23" t="s">
        <v>235</v>
      </c>
      <c r="G23" t="s">
        <v>247</v>
      </c>
      <c r="H23" t="s">
        <v>231</v>
      </c>
      <c r="J23" t="b">
        <v>1</v>
      </c>
      <c r="K23" t="s">
        <v>197</v>
      </c>
    </row>
    <row r="24" spans="1:11" x14ac:dyDescent="0.3">
      <c r="A24" s="8">
        <v>46388</v>
      </c>
      <c r="B24" t="s">
        <v>233</v>
      </c>
      <c r="C24" t="s">
        <v>202</v>
      </c>
      <c r="D24">
        <v>4</v>
      </c>
      <c r="E24" t="s">
        <v>248</v>
      </c>
      <c r="F24" t="s">
        <v>246</v>
      </c>
      <c r="G24" t="s">
        <v>249</v>
      </c>
      <c r="H24" t="s">
        <v>231</v>
      </c>
      <c r="I24" t="s">
        <v>250</v>
      </c>
      <c r="J24" t="b">
        <v>1</v>
      </c>
      <c r="K24" t="s">
        <v>197</v>
      </c>
    </row>
    <row r="25" spans="1:11" x14ac:dyDescent="0.3">
      <c r="A25" s="8">
        <v>46388</v>
      </c>
      <c r="B25" t="s">
        <v>233</v>
      </c>
      <c r="C25" t="s">
        <v>193</v>
      </c>
      <c r="D25">
        <v>2</v>
      </c>
      <c r="E25" t="s">
        <v>251</v>
      </c>
      <c r="F25" t="s">
        <v>234</v>
      </c>
      <c r="G25" t="s">
        <v>252</v>
      </c>
      <c r="H25" t="s">
        <v>231</v>
      </c>
      <c r="J25" t="b">
        <v>1</v>
      </c>
      <c r="K25" t="s">
        <v>197</v>
      </c>
    </row>
    <row r="26" spans="1:11" x14ac:dyDescent="0.3">
      <c r="A26" s="8">
        <v>46388</v>
      </c>
      <c r="B26" t="s">
        <v>233</v>
      </c>
      <c r="C26" t="s">
        <v>193</v>
      </c>
      <c r="D26">
        <v>3</v>
      </c>
      <c r="E26" t="s">
        <v>253</v>
      </c>
      <c r="F26" t="s">
        <v>251</v>
      </c>
      <c r="G26" t="s">
        <v>254</v>
      </c>
      <c r="H26" t="s">
        <v>231</v>
      </c>
      <c r="J26" t="b">
        <v>1</v>
      </c>
      <c r="K26" t="s">
        <v>197</v>
      </c>
    </row>
    <row r="27" spans="1:11" x14ac:dyDescent="0.3">
      <c r="A27" s="8">
        <v>46388</v>
      </c>
      <c r="B27" t="s">
        <v>233</v>
      </c>
      <c r="C27" t="s">
        <v>202</v>
      </c>
      <c r="D27">
        <v>4</v>
      </c>
      <c r="E27" t="s">
        <v>255</v>
      </c>
      <c r="F27" t="s">
        <v>253</v>
      </c>
      <c r="G27" t="s">
        <v>256</v>
      </c>
      <c r="H27" t="s">
        <v>231</v>
      </c>
      <c r="I27" t="s">
        <v>257</v>
      </c>
      <c r="J27" t="b">
        <v>1</v>
      </c>
      <c r="K27" t="s">
        <v>197</v>
      </c>
    </row>
    <row r="28" spans="1:11" x14ac:dyDescent="0.3">
      <c r="A28" s="8">
        <v>46388</v>
      </c>
      <c r="B28" t="s">
        <v>258</v>
      </c>
      <c r="C28" t="s">
        <v>193</v>
      </c>
      <c r="D28">
        <v>1</v>
      </c>
      <c r="E28" t="s">
        <v>259</v>
      </c>
      <c r="G28" t="s">
        <v>260</v>
      </c>
      <c r="H28" t="s">
        <v>231</v>
      </c>
      <c r="J28" t="b">
        <v>1</v>
      </c>
      <c r="K28" t="s">
        <v>197</v>
      </c>
    </row>
    <row r="29" spans="1:11" x14ac:dyDescent="0.3">
      <c r="A29" s="8">
        <v>46388</v>
      </c>
      <c r="B29" t="s">
        <v>258</v>
      </c>
      <c r="C29" t="s">
        <v>193</v>
      </c>
      <c r="D29">
        <v>2</v>
      </c>
      <c r="E29" t="s">
        <v>261</v>
      </c>
      <c r="F29" t="s">
        <v>259</v>
      </c>
      <c r="G29" t="s">
        <v>262</v>
      </c>
      <c r="H29" t="s">
        <v>231</v>
      </c>
      <c r="J29" t="b">
        <v>1</v>
      </c>
      <c r="K29" t="s">
        <v>197</v>
      </c>
    </row>
    <row r="30" spans="1:11" x14ac:dyDescent="0.3">
      <c r="A30" s="8">
        <v>46388</v>
      </c>
      <c r="B30" t="s">
        <v>258</v>
      </c>
      <c r="C30" t="s">
        <v>193</v>
      </c>
      <c r="D30">
        <v>3</v>
      </c>
      <c r="E30" t="s">
        <v>263</v>
      </c>
      <c r="F30" t="s">
        <v>261</v>
      </c>
      <c r="G30" t="s">
        <v>264</v>
      </c>
      <c r="H30" t="s">
        <v>231</v>
      </c>
      <c r="J30" t="b">
        <v>1</v>
      </c>
      <c r="K30" t="s">
        <v>197</v>
      </c>
    </row>
    <row r="31" spans="1:11" x14ac:dyDescent="0.3">
      <c r="A31" s="8">
        <v>46388</v>
      </c>
      <c r="B31" t="s">
        <v>258</v>
      </c>
      <c r="C31" t="s">
        <v>202</v>
      </c>
      <c r="D31">
        <v>4</v>
      </c>
      <c r="E31" t="s">
        <v>265</v>
      </c>
      <c r="F31" t="s">
        <v>263</v>
      </c>
      <c r="G31" t="s">
        <v>266</v>
      </c>
      <c r="H31" t="s">
        <v>231</v>
      </c>
      <c r="I31" t="s">
        <v>267</v>
      </c>
      <c r="J31" t="b">
        <v>1</v>
      </c>
      <c r="K31" t="s">
        <v>197</v>
      </c>
    </row>
    <row r="32" spans="1:11" x14ac:dyDescent="0.3">
      <c r="A32" s="8">
        <v>46388</v>
      </c>
      <c r="B32" t="s">
        <v>258</v>
      </c>
      <c r="C32" t="s">
        <v>193</v>
      </c>
      <c r="D32">
        <v>2</v>
      </c>
      <c r="E32" t="s">
        <v>268</v>
      </c>
      <c r="F32" t="s">
        <v>259</v>
      </c>
      <c r="G32" t="s">
        <v>269</v>
      </c>
      <c r="H32" t="s">
        <v>231</v>
      </c>
      <c r="J32" t="b">
        <v>1</v>
      </c>
      <c r="K32" t="s">
        <v>197</v>
      </c>
    </row>
    <row r="33" spans="1:11" x14ac:dyDescent="0.3">
      <c r="A33" s="8">
        <v>46388</v>
      </c>
      <c r="B33" t="s">
        <v>258</v>
      </c>
      <c r="C33" t="s">
        <v>193</v>
      </c>
      <c r="D33">
        <v>3</v>
      </c>
      <c r="E33" t="s">
        <v>270</v>
      </c>
      <c r="F33" t="s">
        <v>268</v>
      </c>
      <c r="G33" t="s">
        <v>271</v>
      </c>
      <c r="H33" t="s">
        <v>231</v>
      </c>
      <c r="J33" t="b">
        <v>1</v>
      </c>
      <c r="K33" t="s">
        <v>197</v>
      </c>
    </row>
    <row r="34" spans="1:11" x14ac:dyDescent="0.3">
      <c r="A34" s="8">
        <v>46388</v>
      </c>
      <c r="B34" t="s">
        <v>258</v>
      </c>
      <c r="C34" t="s">
        <v>202</v>
      </c>
      <c r="D34">
        <v>4</v>
      </c>
      <c r="E34" t="s">
        <v>272</v>
      </c>
      <c r="F34" t="s">
        <v>270</v>
      </c>
      <c r="G34" t="s">
        <v>271</v>
      </c>
      <c r="H34" t="s">
        <v>231</v>
      </c>
      <c r="I34" t="s">
        <v>273</v>
      </c>
      <c r="J34" t="b">
        <v>1</v>
      </c>
      <c r="K34" t="s">
        <v>197</v>
      </c>
    </row>
    <row r="35" spans="1:11" x14ac:dyDescent="0.3">
      <c r="A35" s="8">
        <v>46388</v>
      </c>
      <c r="B35" t="s">
        <v>274</v>
      </c>
      <c r="C35" t="s">
        <v>193</v>
      </c>
      <c r="D35">
        <v>1</v>
      </c>
      <c r="E35" t="s">
        <v>275</v>
      </c>
      <c r="G35" t="s">
        <v>276</v>
      </c>
      <c r="H35" t="s">
        <v>231</v>
      </c>
      <c r="J35" t="b">
        <v>1</v>
      </c>
      <c r="K35" t="s">
        <v>197</v>
      </c>
    </row>
    <row r="36" spans="1:11" x14ac:dyDescent="0.3">
      <c r="A36" s="8">
        <v>46388</v>
      </c>
      <c r="B36" t="s">
        <v>274</v>
      </c>
      <c r="C36" t="s">
        <v>193</v>
      </c>
      <c r="D36">
        <v>2</v>
      </c>
      <c r="E36" t="s">
        <v>277</v>
      </c>
      <c r="F36" t="s">
        <v>275</v>
      </c>
      <c r="G36" t="s">
        <v>278</v>
      </c>
      <c r="H36" t="s">
        <v>231</v>
      </c>
      <c r="J36" t="b">
        <v>1</v>
      </c>
      <c r="K36" t="s">
        <v>197</v>
      </c>
    </row>
    <row r="37" spans="1:11" x14ac:dyDescent="0.3">
      <c r="A37" s="8">
        <v>46388</v>
      </c>
      <c r="B37" t="s">
        <v>274</v>
      </c>
      <c r="C37" t="s">
        <v>193</v>
      </c>
      <c r="D37">
        <v>3</v>
      </c>
      <c r="E37" t="s">
        <v>279</v>
      </c>
      <c r="F37" t="s">
        <v>277</v>
      </c>
      <c r="G37" t="s">
        <v>280</v>
      </c>
      <c r="H37" t="s">
        <v>231</v>
      </c>
      <c r="J37" t="b">
        <v>1</v>
      </c>
      <c r="K37" t="s">
        <v>197</v>
      </c>
    </row>
    <row r="38" spans="1:11" x14ac:dyDescent="0.3">
      <c r="A38" s="8">
        <v>46388</v>
      </c>
      <c r="B38" t="s">
        <v>274</v>
      </c>
      <c r="C38" t="s">
        <v>202</v>
      </c>
      <c r="D38">
        <v>4</v>
      </c>
      <c r="E38" t="s">
        <v>281</v>
      </c>
      <c r="F38" t="s">
        <v>279</v>
      </c>
      <c r="G38" t="s">
        <v>282</v>
      </c>
      <c r="H38" t="s">
        <v>231</v>
      </c>
      <c r="I38" t="s">
        <v>283</v>
      </c>
      <c r="J38" t="b">
        <v>1</v>
      </c>
      <c r="K38" t="s">
        <v>197</v>
      </c>
    </row>
    <row r="39" spans="1:11" x14ac:dyDescent="0.3">
      <c r="A39" s="8">
        <v>46388</v>
      </c>
      <c r="B39" t="s">
        <v>274</v>
      </c>
      <c r="C39" t="s">
        <v>193</v>
      </c>
      <c r="D39">
        <v>2</v>
      </c>
      <c r="E39" t="s">
        <v>284</v>
      </c>
      <c r="F39" t="s">
        <v>275</v>
      </c>
      <c r="G39" t="s">
        <v>285</v>
      </c>
      <c r="H39" t="s">
        <v>196</v>
      </c>
      <c r="J39" t="b">
        <v>1</v>
      </c>
      <c r="K39" t="s">
        <v>197</v>
      </c>
    </row>
    <row r="40" spans="1:11" x14ac:dyDescent="0.3">
      <c r="A40" s="8">
        <v>46388</v>
      </c>
      <c r="B40" t="s">
        <v>274</v>
      </c>
      <c r="C40" t="s">
        <v>193</v>
      </c>
      <c r="D40">
        <v>3</v>
      </c>
      <c r="E40" t="s">
        <v>286</v>
      </c>
      <c r="F40" t="s">
        <v>284</v>
      </c>
      <c r="G40" t="s">
        <v>287</v>
      </c>
      <c r="H40" t="s">
        <v>196</v>
      </c>
      <c r="J40" t="b">
        <v>1</v>
      </c>
      <c r="K40" t="s">
        <v>197</v>
      </c>
    </row>
    <row r="41" spans="1:11" x14ac:dyDescent="0.3">
      <c r="A41" s="8">
        <v>46388</v>
      </c>
      <c r="B41" t="s">
        <v>274</v>
      </c>
      <c r="C41" t="s">
        <v>202</v>
      </c>
      <c r="D41">
        <v>4</v>
      </c>
      <c r="E41" t="s">
        <v>288</v>
      </c>
      <c r="F41" t="s">
        <v>286</v>
      </c>
      <c r="G41" t="s">
        <v>287</v>
      </c>
      <c r="H41" t="s">
        <v>196</v>
      </c>
      <c r="I41" t="s">
        <v>289</v>
      </c>
      <c r="J41" t="b">
        <v>1</v>
      </c>
      <c r="K41" t="s">
        <v>197</v>
      </c>
    </row>
    <row r="42" spans="1:11" x14ac:dyDescent="0.3">
      <c r="A42" s="8">
        <v>46388</v>
      </c>
      <c r="B42" t="s">
        <v>274</v>
      </c>
      <c r="C42" t="s">
        <v>193</v>
      </c>
      <c r="D42">
        <v>2</v>
      </c>
      <c r="E42" t="s">
        <v>290</v>
      </c>
      <c r="F42" t="s">
        <v>275</v>
      </c>
      <c r="G42" t="s">
        <v>291</v>
      </c>
      <c r="H42" t="s">
        <v>196</v>
      </c>
      <c r="J42" t="b">
        <v>1</v>
      </c>
      <c r="K42" t="s">
        <v>197</v>
      </c>
    </row>
    <row r="43" spans="1:11" x14ac:dyDescent="0.3">
      <c r="A43" s="8">
        <v>46388</v>
      </c>
      <c r="B43" t="s">
        <v>274</v>
      </c>
      <c r="C43" t="s">
        <v>193</v>
      </c>
      <c r="D43">
        <v>3</v>
      </c>
      <c r="E43" t="s">
        <v>292</v>
      </c>
      <c r="F43" t="s">
        <v>290</v>
      </c>
      <c r="G43" t="s">
        <v>293</v>
      </c>
      <c r="H43" t="s">
        <v>196</v>
      </c>
      <c r="J43" t="b">
        <v>1</v>
      </c>
      <c r="K43" t="s">
        <v>197</v>
      </c>
    </row>
    <row r="44" spans="1:11" x14ac:dyDescent="0.3">
      <c r="A44" s="8">
        <v>46388</v>
      </c>
      <c r="B44" t="s">
        <v>274</v>
      </c>
      <c r="C44" t="s">
        <v>202</v>
      </c>
      <c r="D44">
        <v>4</v>
      </c>
      <c r="E44" t="s">
        <v>294</v>
      </c>
      <c r="F44" t="s">
        <v>292</v>
      </c>
      <c r="G44" t="s">
        <v>295</v>
      </c>
      <c r="H44" t="s">
        <v>196</v>
      </c>
      <c r="I44" t="s">
        <v>296</v>
      </c>
      <c r="J44" t="b">
        <v>1</v>
      </c>
      <c r="K44" t="s">
        <v>197</v>
      </c>
    </row>
    <row r="45" spans="1:11" x14ac:dyDescent="0.3">
      <c r="A45" s="8">
        <v>46388</v>
      </c>
      <c r="B45" t="s">
        <v>274</v>
      </c>
      <c r="C45" t="s">
        <v>202</v>
      </c>
      <c r="D45">
        <v>4</v>
      </c>
      <c r="E45" t="s">
        <v>297</v>
      </c>
      <c r="F45" t="s">
        <v>292</v>
      </c>
      <c r="G45" t="s">
        <v>298</v>
      </c>
      <c r="H45" t="s">
        <v>196</v>
      </c>
      <c r="I45" t="s">
        <v>299</v>
      </c>
      <c r="J45" t="b">
        <v>1</v>
      </c>
      <c r="K45" t="s">
        <v>197</v>
      </c>
    </row>
    <row r="46" spans="1:11" x14ac:dyDescent="0.3">
      <c r="A46" s="8">
        <v>46388</v>
      </c>
      <c r="B46" t="s">
        <v>274</v>
      </c>
      <c r="C46" t="s">
        <v>202</v>
      </c>
      <c r="D46">
        <v>4</v>
      </c>
      <c r="E46" t="s">
        <v>300</v>
      </c>
      <c r="F46" t="s">
        <v>292</v>
      </c>
      <c r="G46" t="s">
        <v>301</v>
      </c>
      <c r="H46" t="s">
        <v>196</v>
      </c>
      <c r="I46" t="s">
        <v>302</v>
      </c>
      <c r="J46" t="b">
        <v>1</v>
      </c>
      <c r="K46" t="s">
        <v>197</v>
      </c>
    </row>
    <row r="47" spans="1:11" x14ac:dyDescent="0.3">
      <c r="A47" s="8">
        <v>46388</v>
      </c>
      <c r="B47" t="s">
        <v>274</v>
      </c>
      <c r="C47" t="s">
        <v>202</v>
      </c>
      <c r="D47">
        <v>4</v>
      </c>
      <c r="E47" t="s">
        <v>303</v>
      </c>
      <c r="F47" t="s">
        <v>292</v>
      </c>
      <c r="G47" t="s">
        <v>304</v>
      </c>
      <c r="H47" t="s">
        <v>196</v>
      </c>
      <c r="I47" t="s">
        <v>305</v>
      </c>
      <c r="J47" t="b">
        <v>1</v>
      </c>
      <c r="K47" t="s">
        <v>197</v>
      </c>
    </row>
    <row r="48" spans="1:11" x14ac:dyDescent="0.3">
      <c r="A48" s="8">
        <v>46388</v>
      </c>
      <c r="B48" t="s">
        <v>274</v>
      </c>
      <c r="C48" t="s">
        <v>193</v>
      </c>
      <c r="D48">
        <v>3</v>
      </c>
      <c r="E48" t="s">
        <v>306</v>
      </c>
      <c r="F48" t="s">
        <v>290</v>
      </c>
      <c r="G48" t="s">
        <v>307</v>
      </c>
      <c r="H48" t="s">
        <v>196</v>
      </c>
      <c r="J48" t="b">
        <v>1</v>
      </c>
      <c r="K48" t="s">
        <v>197</v>
      </c>
    </row>
    <row r="49" spans="1:11" x14ac:dyDescent="0.3">
      <c r="A49" s="8">
        <v>46388</v>
      </c>
      <c r="B49" t="s">
        <v>274</v>
      </c>
      <c r="C49" t="s">
        <v>202</v>
      </c>
      <c r="D49">
        <v>4</v>
      </c>
      <c r="E49" t="s">
        <v>308</v>
      </c>
      <c r="F49" t="s">
        <v>306</v>
      </c>
      <c r="G49" t="s">
        <v>309</v>
      </c>
      <c r="H49" t="s">
        <v>196</v>
      </c>
      <c r="I49" t="s">
        <v>310</v>
      </c>
      <c r="J49" t="b">
        <v>1</v>
      </c>
      <c r="K49" t="s">
        <v>197</v>
      </c>
    </row>
  </sheetData>
  <dataValidations count="5">
    <dataValidation type="list" allowBlank="1" sqref="B2:B1000">
      <formula1>"01,02,03,04,05,09"</formula1>
    </dataValidation>
    <dataValidation type="list" allowBlank="1" sqref="C2:C1000">
      <formula1>"S,A"</formula1>
    </dataValidation>
    <dataValidation type="list" allowBlank="1" sqref="H2:H1000">
      <formula1>"D,C"</formula1>
    </dataValidation>
    <dataValidation type="list" allowBlank="1" sqref="J2:J1000">
      <formula1>"TRUE,FALSE"</formula1>
    </dataValidation>
    <dataValidation type="list" allowBlank="1" sqref="K2:K1000">
      <formula1>"observada,sintética,template,ajustada"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B1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22" customWidth="1"/>
  </cols>
  <sheetData>
    <row r="1" spans="1:2" x14ac:dyDescent="0.3">
      <c r="A1" s="7" t="s">
        <v>311</v>
      </c>
      <c r="B1" s="7" t="s">
        <v>187</v>
      </c>
    </row>
    <row r="2" spans="1:2" x14ac:dyDescent="0.3">
      <c r="A2" t="s">
        <v>312</v>
      </c>
      <c r="B2" t="s">
        <v>203</v>
      </c>
    </row>
    <row r="3" spans="1:2" x14ac:dyDescent="0.3">
      <c r="A3" t="s">
        <v>313</v>
      </c>
      <c r="B3" t="s">
        <v>206</v>
      </c>
    </row>
    <row r="4" spans="1:2" x14ac:dyDescent="0.3">
      <c r="A4" t="s">
        <v>314</v>
      </c>
      <c r="B4" t="s">
        <v>211</v>
      </c>
    </row>
    <row r="5" spans="1:2" x14ac:dyDescent="0.3">
      <c r="A5" t="s">
        <v>315</v>
      </c>
      <c r="B5" t="s">
        <v>215</v>
      </c>
    </row>
    <row r="6" spans="1:2" x14ac:dyDescent="0.3">
      <c r="A6" t="s">
        <v>316</v>
      </c>
      <c r="B6" t="s">
        <v>226</v>
      </c>
    </row>
    <row r="7" spans="1:2" x14ac:dyDescent="0.3">
      <c r="A7" t="s">
        <v>317</v>
      </c>
      <c r="B7" t="s">
        <v>229</v>
      </c>
    </row>
    <row r="8" spans="1:2" x14ac:dyDescent="0.3">
      <c r="A8" t="s">
        <v>318</v>
      </c>
      <c r="B8" t="s">
        <v>239</v>
      </c>
    </row>
    <row r="9" spans="1:2" x14ac:dyDescent="0.3">
      <c r="A9" t="s">
        <v>319</v>
      </c>
      <c r="B9" t="s">
        <v>265</v>
      </c>
    </row>
    <row r="10" spans="1:2" x14ac:dyDescent="0.3">
      <c r="A10" t="s">
        <v>320</v>
      </c>
      <c r="B10" t="s">
        <v>281</v>
      </c>
    </row>
    <row r="11" spans="1:2" x14ac:dyDescent="0.3">
      <c r="A11" t="s">
        <v>321</v>
      </c>
      <c r="B11" t="s">
        <v>288</v>
      </c>
    </row>
    <row r="12" spans="1:2" x14ac:dyDescent="0.3">
      <c r="A12" t="s">
        <v>322</v>
      </c>
      <c r="B12" t="s">
        <v>294</v>
      </c>
    </row>
    <row r="13" spans="1:2" x14ac:dyDescent="0.3">
      <c r="A13" t="s">
        <v>323</v>
      </c>
      <c r="B13" t="s">
        <v>297</v>
      </c>
    </row>
    <row r="14" spans="1:2" x14ac:dyDescent="0.3">
      <c r="A14" t="s">
        <v>324</v>
      </c>
      <c r="B14" t="s">
        <v>300</v>
      </c>
    </row>
    <row r="15" spans="1:2" x14ac:dyDescent="0.3">
      <c r="A15" t="s">
        <v>325</v>
      </c>
      <c r="B15" t="s">
        <v>303</v>
      </c>
    </row>
    <row r="16" spans="1:2" x14ac:dyDescent="0.3">
      <c r="A16" t="s">
        <v>326</v>
      </c>
      <c r="B16" t="s">
        <v>308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P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15" customWidth="1"/>
    <col min="4" max="4" width="13" customWidth="1"/>
    <col min="5" max="8" width="12" customWidth="1"/>
    <col min="9" max="9" width="17" customWidth="1"/>
    <col min="10" max="10" width="19" customWidth="1"/>
    <col min="11" max="13" width="12" customWidth="1"/>
    <col min="14" max="14" width="42" customWidth="1"/>
    <col min="15" max="15" width="12" customWidth="1"/>
    <col min="16" max="16" width="14" customWidth="1"/>
  </cols>
  <sheetData>
    <row r="1" spans="1:16" x14ac:dyDescent="0.3">
      <c r="A1" s="7" t="s">
        <v>327</v>
      </c>
      <c r="B1" s="7" t="s">
        <v>328</v>
      </c>
      <c r="C1" s="7" t="s">
        <v>329</v>
      </c>
      <c r="D1" s="7" t="s">
        <v>330</v>
      </c>
      <c r="E1" s="7" t="s">
        <v>331</v>
      </c>
      <c r="F1" s="7" t="s">
        <v>332</v>
      </c>
      <c r="G1" s="7" t="s">
        <v>333</v>
      </c>
      <c r="H1" s="7" t="s">
        <v>334</v>
      </c>
      <c r="I1" s="7" t="s">
        <v>335</v>
      </c>
      <c r="J1" s="7" t="s">
        <v>336</v>
      </c>
      <c r="K1" s="7" t="s">
        <v>337</v>
      </c>
      <c r="L1" s="7" t="s">
        <v>338</v>
      </c>
      <c r="M1" s="7" t="s">
        <v>339</v>
      </c>
      <c r="N1" s="7" t="s">
        <v>340</v>
      </c>
      <c r="O1" s="7" t="s">
        <v>167</v>
      </c>
      <c r="P1" s="7" t="s">
        <v>341</v>
      </c>
    </row>
    <row r="2" spans="1:16" x14ac:dyDescent="0.3">
      <c r="A2" t="s">
        <v>342</v>
      </c>
      <c r="B2" s="8">
        <v>46389</v>
      </c>
      <c r="C2" t="s">
        <v>343</v>
      </c>
      <c r="D2" t="s">
        <v>344</v>
      </c>
      <c r="E2" t="s">
        <v>345</v>
      </c>
      <c r="F2" t="s">
        <v>346</v>
      </c>
      <c r="G2" s="9">
        <v>200000</v>
      </c>
      <c r="H2" s="9"/>
      <c r="I2" t="s">
        <v>312</v>
      </c>
      <c r="L2" t="s">
        <v>347</v>
      </c>
      <c r="M2" t="s">
        <v>348</v>
      </c>
      <c r="N2" t="s">
        <v>349</v>
      </c>
      <c r="O2" t="s">
        <v>171</v>
      </c>
      <c r="P2" t="s">
        <v>350</v>
      </c>
    </row>
    <row r="3" spans="1:16" x14ac:dyDescent="0.3">
      <c r="A3" t="s">
        <v>351</v>
      </c>
      <c r="B3" s="8">
        <v>46392</v>
      </c>
      <c r="C3" t="s">
        <v>343</v>
      </c>
      <c r="D3" t="s">
        <v>352</v>
      </c>
      <c r="E3" t="s">
        <v>345</v>
      </c>
      <c r="F3" t="s">
        <v>353</v>
      </c>
      <c r="G3" s="9">
        <v>85000</v>
      </c>
      <c r="H3" s="9"/>
      <c r="I3" t="s">
        <v>312</v>
      </c>
      <c r="K3" t="s">
        <v>354</v>
      </c>
      <c r="L3" t="s">
        <v>355</v>
      </c>
      <c r="M3" t="s">
        <v>356</v>
      </c>
      <c r="N3" t="s">
        <v>357</v>
      </c>
      <c r="O3" t="s">
        <v>171</v>
      </c>
      <c r="P3" t="s">
        <v>350</v>
      </c>
    </row>
    <row r="4" spans="1:16" x14ac:dyDescent="0.3">
      <c r="A4" t="s">
        <v>358</v>
      </c>
      <c r="B4" s="8">
        <v>46399</v>
      </c>
      <c r="C4" t="s">
        <v>343</v>
      </c>
      <c r="D4" t="s">
        <v>359</v>
      </c>
      <c r="E4" t="s">
        <v>360</v>
      </c>
      <c r="F4" t="s">
        <v>353</v>
      </c>
      <c r="G4" s="9">
        <v>70000</v>
      </c>
      <c r="H4" s="9">
        <v>59500</v>
      </c>
      <c r="K4" t="s">
        <v>361</v>
      </c>
      <c r="L4" t="s">
        <v>362</v>
      </c>
      <c r="M4" t="s">
        <v>363</v>
      </c>
      <c r="N4" t="s">
        <v>364</v>
      </c>
      <c r="O4" t="s">
        <v>171</v>
      </c>
      <c r="P4" t="s">
        <v>350</v>
      </c>
    </row>
    <row r="5" spans="1:16" x14ac:dyDescent="0.3">
      <c r="A5" t="s">
        <v>365</v>
      </c>
      <c r="B5" s="8">
        <v>46407</v>
      </c>
      <c r="C5" t="s">
        <v>343</v>
      </c>
      <c r="D5" t="s">
        <v>366</v>
      </c>
      <c r="E5" t="s">
        <v>360</v>
      </c>
      <c r="F5" t="s">
        <v>353</v>
      </c>
      <c r="G5" s="9">
        <v>30000</v>
      </c>
      <c r="H5" s="9">
        <v>25500</v>
      </c>
      <c r="I5" t="s">
        <v>312</v>
      </c>
      <c r="K5" t="s">
        <v>367</v>
      </c>
      <c r="L5" t="s">
        <v>355</v>
      </c>
      <c r="M5" t="s">
        <v>368</v>
      </c>
      <c r="N5" t="s">
        <v>369</v>
      </c>
      <c r="O5" t="s">
        <v>171</v>
      </c>
      <c r="P5" t="s">
        <v>350</v>
      </c>
    </row>
  </sheetData>
  <dataValidations count="8">
    <dataValidation type="list" allowBlank="1" sqref="C2:C1000">
      <formula1>"TR,ADJ"</formula1>
    </dataValidation>
    <dataValidation type="list" allowBlank="1" sqref="D2:D1000">
      <formula1>"aporte_capital,compra_mercadoria_a_vista,compra_mercadoria_a_prazo,pagamento_fornecedor,venda_a_vista,venda_a_prazo,recebimento_cliente,despesa_operacional_a_vista,depreciacao"</formula1>
    </dataValidation>
    <dataValidation type="list" allowBlank="1" sqref="E2:E1000">
      <formula1>"in,out,na"</formula1>
    </dataValidation>
    <dataValidation type="list" allowBlank="1" sqref="F2:F1000">
      <formula1>"bem,servico,financeiro,ajuste"</formula1>
    </dataValidation>
    <dataValidation type="list" allowBlank="1" sqref="I2:I1000">
      <formula1>"caixa,banco"</formula1>
    </dataValidation>
    <dataValidation type="list" allowBlank="1" sqref="J2:J1000">
      <formula1>"salarios,aluguel,utilidades,juros"</formula1>
    </dataValidation>
    <dataValidation type="list" allowBlank="1" sqref="L2:L1000">
      <formula1>"vista,prazo,na"</formula1>
    </dataValidation>
    <dataValidation type="list" allowBlank="1" sqref="O2:O1000">
      <formula1>"observada,sintética,template,ajustada"</formula1>
    </dataValidation>
  </dataValidation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7" customWidth="1"/>
    <col min="3" max="5" width="12" customWidth="1"/>
  </cols>
  <sheetData>
    <row r="1" spans="1:5" x14ac:dyDescent="0.3">
      <c r="A1" s="7" t="s">
        <v>327</v>
      </c>
      <c r="B1" s="7" t="s">
        <v>370</v>
      </c>
      <c r="C1" s="7" t="s">
        <v>154</v>
      </c>
      <c r="D1" s="7" t="s">
        <v>166</v>
      </c>
      <c r="E1" s="7" t="s">
        <v>167</v>
      </c>
    </row>
    <row r="2" spans="1:5" x14ac:dyDescent="0.3">
      <c r="A2" t="s">
        <v>351</v>
      </c>
      <c r="B2" t="s">
        <v>371</v>
      </c>
      <c r="C2" t="s">
        <v>372</v>
      </c>
      <c r="D2" t="s">
        <v>170</v>
      </c>
      <c r="E2" t="s">
        <v>171</v>
      </c>
    </row>
    <row r="3" spans="1:5" x14ac:dyDescent="0.3">
      <c r="A3" t="s">
        <v>351</v>
      </c>
      <c r="B3" t="s">
        <v>373</v>
      </c>
      <c r="C3" t="s">
        <v>374</v>
      </c>
      <c r="D3" t="s">
        <v>170</v>
      </c>
      <c r="E3" t="s">
        <v>171</v>
      </c>
    </row>
    <row r="4" spans="1:5" x14ac:dyDescent="0.3">
      <c r="A4" t="s">
        <v>351</v>
      </c>
      <c r="B4" t="s">
        <v>375</v>
      </c>
      <c r="C4" t="s">
        <v>376</v>
      </c>
      <c r="D4" t="s">
        <v>170</v>
      </c>
      <c r="E4" t="s">
        <v>171</v>
      </c>
    </row>
    <row r="5" spans="1:5" x14ac:dyDescent="0.3">
      <c r="A5" t="s">
        <v>358</v>
      </c>
      <c r="B5" t="s">
        <v>371</v>
      </c>
      <c r="C5" t="s">
        <v>372</v>
      </c>
      <c r="D5" t="s">
        <v>170</v>
      </c>
      <c r="E5" t="s">
        <v>171</v>
      </c>
    </row>
    <row r="6" spans="1:5" x14ac:dyDescent="0.3">
      <c r="A6" t="s">
        <v>358</v>
      </c>
      <c r="B6" t="s">
        <v>377</v>
      </c>
      <c r="C6" t="s">
        <v>378</v>
      </c>
      <c r="D6" t="s">
        <v>170</v>
      </c>
      <c r="E6" t="s">
        <v>171</v>
      </c>
    </row>
    <row r="7" spans="1:5" x14ac:dyDescent="0.3">
      <c r="A7" t="s">
        <v>358</v>
      </c>
      <c r="B7" t="s">
        <v>379</v>
      </c>
      <c r="C7" t="s">
        <v>374</v>
      </c>
      <c r="D7" t="s">
        <v>170</v>
      </c>
      <c r="E7" t="s">
        <v>171</v>
      </c>
    </row>
    <row r="8" spans="1:5" x14ac:dyDescent="0.3">
      <c r="A8" t="s">
        <v>365</v>
      </c>
      <c r="B8" t="s">
        <v>371</v>
      </c>
      <c r="C8" t="s">
        <v>372</v>
      </c>
      <c r="D8" t="s">
        <v>170</v>
      </c>
      <c r="E8" t="s">
        <v>171</v>
      </c>
    </row>
    <row r="9" spans="1:5" x14ac:dyDescent="0.3">
      <c r="A9" t="s">
        <v>365</v>
      </c>
      <c r="B9" t="s">
        <v>377</v>
      </c>
      <c r="C9" t="s">
        <v>380</v>
      </c>
      <c r="D9" t="s">
        <v>170</v>
      </c>
      <c r="E9" t="s">
        <v>171</v>
      </c>
    </row>
    <row r="10" spans="1:5" x14ac:dyDescent="0.3">
      <c r="A10" t="s">
        <v>365</v>
      </c>
      <c r="B10" t="s">
        <v>379</v>
      </c>
      <c r="C10" t="s">
        <v>381</v>
      </c>
      <c r="D10" t="s">
        <v>170</v>
      </c>
      <c r="E10" t="s">
        <v>171</v>
      </c>
    </row>
  </sheetData>
  <dataValidations count="2">
    <dataValidation type="list" allowBlank="1" sqref="D2:D1000">
      <formula1>"str,int,decimal,bool,date"</formula1>
    </dataValidation>
    <dataValidation type="list" allowBlank="1" sqref="E2:E1000">
      <formula1>"observada,sintética,template,ajustada"</formula1>
    </dataValidation>
  </dataValidation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4" width="12" customWidth="1"/>
    <col min="5" max="5" width="13" customWidth="1"/>
    <col min="6" max="6" width="12" customWidth="1"/>
    <col min="7" max="7" width="14" customWidth="1"/>
  </cols>
  <sheetData>
    <row r="1" spans="1:7" x14ac:dyDescent="0.3">
      <c r="A1" s="10" t="s">
        <v>382</v>
      </c>
      <c r="B1" s="10" t="s">
        <v>383</v>
      </c>
      <c r="C1" s="10" t="s">
        <v>384</v>
      </c>
      <c r="D1" s="10" t="s">
        <v>385</v>
      </c>
      <c r="E1" s="10" t="s">
        <v>386</v>
      </c>
      <c r="F1" s="10" t="s">
        <v>387</v>
      </c>
      <c r="G1" s="10" t="s">
        <v>388</v>
      </c>
    </row>
    <row r="2" spans="1:7" x14ac:dyDescent="0.3">
      <c r="A2" t="s">
        <v>389</v>
      </c>
      <c r="B2" s="8">
        <v>46389</v>
      </c>
      <c r="C2" s="9">
        <v>200000</v>
      </c>
      <c r="D2" t="s">
        <v>390</v>
      </c>
      <c r="E2" s="8"/>
      <c r="F2" t="s">
        <v>156</v>
      </c>
      <c r="G2" t="s">
        <v>391</v>
      </c>
    </row>
    <row r="3" spans="1:7" x14ac:dyDescent="0.3">
      <c r="A3" t="s">
        <v>392</v>
      </c>
      <c r="B3" s="8">
        <v>46392</v>
      </c>
      <c r="C3" s="9">
        <v>85000</v>
      </c>
      <c r="D3" t="s">
        <v>390</v>
      </c>
      <c r="E3" s="8"/>
      <c r="F3" t="s">
        <v>156</v>
      </c>
      <c r="G3" t="s">
        <v>391</v>
      </c>
    </row>
    <row r="4" spans="1:7" x14ac:dyDescent="0.3">
      <c r="A4" t="s">
        <v>393</v>
      </c>
      <c r="B4" s="8">
        <v>46399</v>
      </c>
      <c r="C4" s="9">
        <v>70000</v>
      </c>
      <c r="D4" t="s">
        <v>390</v>
      </c>
      <c r="E4" s="8"/>
      <c r="F4" t="s">
        <v>156</v>
      </c>
      <c r="G4" t="s">
        <v>391</v>
      </c>
    </row>
    <row r="5" spans="1:7" x14ac:dyDescent="0.3">
      <c r="A5" t="s">
        <v>394</v>
      </c>
      <c r="B5" s="8">
        <v>46399</v>
      </c>
      <c r="C5" s="9">
        <v>59500</v>
      </c>
      <c r="D5" t="s">
        <v>390</v>
      </c>
      <c r="E5" s="8"/>
      <c r="F5" t="s">
        <v>156</v>
      </c>
      <c r="G5" t="s">
        <v>391</v>
      </c>
    </row>
    <row r="6" spans="1:7" x14ac:dyDescent="0.3">
      <c r="A6" t="s">
        <v>395</v>
      </c>
      <c r="B6" s="8">
        <v>46407</v>
      </c>
      <c r="C6" s="9">
        <v>30000</v>
      </c>
      <c r="D6" t="s">
        <v>390</v>
      </c>
      <c r="E6" s="8"/>
      <c r="F6" t="s">
        <v>156</v>
      </c>
      <c r="G6" t="s">
        <v>391</v>
      </c>
    </row>
    <row r="7" spans="1:7" x14ac:dyDescent="0.3">
      <c r="A7" t="s">
        <v>396</v>
      </c>
      <c r="B7" s="8">
        <v>46407</v>
      </c>
      <c r="C7" s="9">
        <v>25500</v>
      </c>
      <c r="D7" t="s">
        <v>390</v>
      </c>
      <c r="E7" s="8"/>
      <c r="F7" t="s">
        <v>156</v>
      </c>
      <c r="G7" t="s">
        <v>391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K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2" customWidth="1"/>
    <col min="4" max="7" width="12" customWidth="1"/>
    <col min="8" max="8" width="14" customWidth="1"/>
    <col min="9" max="9" width="42" customWidth="1"/>
    <col min="10" max="11" width="12" customWidth="1"/>
  </cols>
  <sheetData>
    <row r="1" spans="1:11" x14ac:dyDescent="0.3">
      <c r="A1" s="10" t="s">
        <v>397</v>
      </c>
      <c r="B1" s="10" t="s">
        <v>382</v>
      </c>
      <c r="C1" s="10" t="s">
        <v>187</v>
      </c>
      <c r="D1" s="10" t="s">
        <v>398</v>
      </c>
      <c r="E1" s="10" t="s">
        <v>399</v>
      </c>
      <c r="F1" s="10" t="s">
        <v>400</v>
      </c>
      <c r="G1" s="10" t="s">
        <v>401</v>
      </c>
      <c r="H1" s="10" t="s">
        <v>402</v>
      </c>
      <c r="I1" s="10" t="s">
        <v>340</v>
      </c>
      <c r="J1" s="10" t="s">
        <v>337</v>
      </c>
      <c r="K1" s="10" t="s">
        <v>403</v>
      </c>
    </row>
    <row r="2" spans="1:11" x14ac:dyDescent="0.3">
      <c r="A2" t="s">
        <v>404</v>
      </c>
      <c r="B2" t="s">
        <v>389</v>
      </c>
      <c r="C2" t="s">
        <v>203</v>
      </c>
      <c r="E2" s="9">
        <v>200000</v>
      </c>
      <c r="F2" t="s">
        <v>196</v>
      </c>
      <c r="G2" t="s">
        <v>348</v>
      </c>
      <c r="I2" t="s">
        <v>349</v>
      </c>
      <c r="K2" t="s">
        <v>342</v>
      </c>
    </row>
    <row r="3" spans="1:11" x14ac:dyDescent="0.3">
      <c r="A3" t="s">
        <v>405</v>
      </c>
      <c r="B3" t="s">
        <v>389</v>
      </c>
      <c r="C3" t="s">
        <v>265</v>
      </c>
      <c r="E3" s="9">
        <v>200000</v>
      </c>
      <c r="F3" t="s">
        <v>231</v>
      </c>
      <c r="G3" t="s">
        <v>348</v>
      </c>
      <c r="I3" t="s">
        <v>349</v>
      </c>
      <c r="K3" t="s">
        <v>342</v>
      </c>
    </row>
    <row r="4" spans="1:11" x14ac:dyDescent="0.3">
      <c r="A4" t="s">
        <v>406</v>
      </c>
      <c r="B4" t="s">
        <v>392</v>
      </c>
      <c r="C4" t="s">
        <v>215</v>
      </c>
      <c r="E4" s="9">
        <v>85000</v>
      </c>
      <c r="F4" t="s">
        <v>196</v>
      </c>
      <c r="G4" t="s">
        <v>356</v>
      </c>
      <c r="I4" t="s">
        <v>357</v>
      </c>
      <c r="J4" t="s">
        <v>354</v>
      </c>
      <c r="K4" t="s">
        <v>351</v>
      </c>
    </row>
    <row r="5" spans="1:11" x14ac:dyDescent="0.3">
      <c r="A5" t="s">
        <v>407</v>
      </c>
      <c r="B5" t="s">
        <v>392</v>
      </c>
      <c r="C5" t="s">
        <v>203</v>
      </c>
      <c r="E5" s="9">
        <v>85000</v>
      </c>
      <c r="F5" t="s">
        <v>231</v>
      </c>
      <c r="G5" t="s">
        <v>356</v>
      </c>
      <c r="I5" t="s">
        <v>357</v>
      </c>
      <c r="J5" t="s">
        <v>354</v>
      </c>
      <c r="K5" t="s">
        <v>351</v>
      </c>
    </row>
    <row r="6" spans="1:11" x14ac:dyDescent="0.3">
      <c r="A6" t="s">
        <v>408</v>
      </c>
      <c r="B6" t="s">
        <v>393</v>
      </c>
      <c r="C6" t="s">
        <v>211</v>
      </c>
      <c r="E6" s="9">
        <v>70000</v>
      </c>
      <c r="F6" t="s">
        <v>196</v>
      </c>
      <c r="G6" t="s">
        <v>363</v>
      </c>
      <c r="I6" t="s">
        <v>364</v>
      </c>
      <c r="J6" t="s">
        <v>361</v>
      </c>
      <c r="K6" t="s">
        <v>358</v>
      </c>
    </row>
    <row r="7" spans="1:11" x14ac:dyDescent="0.3">
      <c r="A7" t="s">
        <v>409</v>
      </c>
      <c r="B7" t="s">
        <v>393</v>
      </c>
      <c r="C7" t="s">
        <v>281</v>
      </c>
      <c r="E7" s="9">
        <v>70000</v>
      </c>
      <c r="F7" t="s">
        <v>231</v>
      </c>
      <c r="G7" t="s">
        <v>363</v>
      </c>
      <c r="I7" t="s">
        <v>364</v>
      </c>
      <c r="J7" t="s">
        <v>361</v>
      </c>
      <c r="K7" t="s">
        <v>358</v>
      </c>
    </row>
    <row r="8" spans="1:11" x14ac:dyDescent="0.3">
      <c r="A8" t="s">
        <v>410</v>
      </c>
      <c r="B8" t="s">
        <v>394</v>
      </c>
      <c r="C8" t="s">
        <v>288</v>
      </c>
      <c r="E8" s="9">
        <v>59500</v>
      </c>
      <c r="F8" t="s">
        <v>196</v>
      </c>
      <c r="G8" t="s">
        <v>363</v>
      </c>
      <c r="I8" t="s">
        <v>411</v>
      </c>
      <c r="J8" t="s">
        <v>361</v>
      </c>
      <c r="K8" t="s">
        <v>358</v>
      </c>
    </row>
    <row r="9" spans="1:11" x14ac:dyDescent="0.3">
      <c r="A9" t="s">
        <v>412</v>
      </c>
      <c r="B9" t="s">
        <v>394</v>
      </c>
      <c r="C9" t="s">
        <v>215</v>
      </c>
      <c r="E9" s="9">
        <v>59500</v>
      </c>
      <c r="F9" t="s">
        <v>231</v>
      </c>
      <c r="G9" t="s">
        <v>363</v>
      </c>
      <c r="I9" t="s">
        <v>411</v>
      </c>
      <c r="J9" t="s">
        <v>361</v>
      </c>
      <c r="K9" t="s">
        <v>358</v>
      </c>
    </row>
    <row r="10" spans="1:11" x14ac:dyDescent="0.3">
      <c r="A10" t="s">
        <v>413</v>
      </c>
      <c r="B10" t="s">
        <v>395</v>
      </c>
      <c r="C10" t="s">
        <v>203</v>
      </c>
      <c r="E10" s="9">
        <v>30000</v>
      </c>
      <c r="F10" t="s">
        <v>196</v>
      </c>
      <c r="G10" t="s">
        <v>368</v>
      </c>
      <c r="I10" t="s">
        <v>369</v>
      </c>
      <c r="J10" t="s">
        <v>367</v>
      </c>
      <c r="K10" t="s">
        <v>365</v>
      </c>
    </row>
    <row r="11" spans="1:11" x14ac:dyDescent="0.3">
      <c r="A11" t="s">
        <v>414</v>
      </c>
      <c r="B11" t="s">
        <v>395</v>
      </c>
      <c r="C11" t="s">
        <v>281</v>
      </c>
      <c r="E11" s="9">
        <v>30000</v>
      </c>
      <c r="F11" t="s">
        <v>231</v>
      </c>
      <c r="G11" t="s">
        <v>368</v>
      </c>
      <c r="I11" t="s">
        <v>369</v>
      </c>
      <c r="J11" t="s">
        <v>367</v>
      </c>
      <c r="K11" t="s">
        <v>365</v>
      </c>
    </row>
    <row r="12" spans="1:11" x14ac:dyDescent="0.3">
      <c r="A12" t="s">
        <v>415</v>
      </c>
      <c r="B12" t="s">
        <v>396</v>
      </c>
      <c r="C12" t="s">
        <v>288</v>
      </c>
      <c r="E12" s="9">
        <v>25500</v>
      </c>
      <c r="F12" t="s">
        <v>196</v>
      </c>
      <c r="G12" t="s">
        <v>368</v>
      </c>
      <c r="I12" t="s">
        <v>416</v>
      </c>
      <c r="J12" t="s">
        <v>367</v>
      </c>
      <c r="K12" t="s">
        <v>365</v>
      </c>
    </row>
    <row r="13" spans="1:11" x14ac:dyDescent="0.3">
      <c r="A13" t="s">
        <v>417</v>
      </c>
      <c r="B13" t="s">
        <v>396</v>
      </c>
      <c r="C13" t="s">
        <v>215</v>
      </c>
      <c r="E13" s="9">
        <v>25500</v>
      </c>
      <c r="F13" t="s">
        <v>231</v>
      </c>
      <c r="G13" t="s">
        <v>368</v>
      </c>
      <c r="I13" t="s">
        <v>416</v>
      </c>
      <c r="J13" t="s">
        <v>367</v>
      </c>
      <c r="K13" t="s">
        <v>365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C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19" customWidth="1"/>
  </cols>
  <sheetData>
    <row r="1" spans="1:3" x14ac:dyDescent="0.3">
      <c r="A1" s="10" t="s">
        <v>327</v>
      </c>
      <c r="B1" s="10" t="s">
        <v>382</v>
      </c>
      <c r="C1" s="10" t="s">
        <v>418</v>
      </c>
    </row>
    <row r="2" spans="1:3" x14ac:dyDescent="0.3">
      <c r="A2" t="s">
        <v>342</v>
      </c>
      <c r="B2" t="s">
        <v>389</v>
      </c>
      <c r="C2">
        <v>1</v>
      </c>
    </row>
    <row r="3" spans="1:3" x14ac:dyDescent="0.3">
      <c r="A3" t="s">
        <v>351</v>
      </c>
      <c r="B3" t="s">
        <v>392</v>
      </c>
      <c r="C3">
        <v>1</v>
      </c>
    </row>
    <row r="4" spans="1:3" x14ac:dyDescent="0.3">
      <c r="A4" t="s">
        <v>358</v>
      </c>
      <c r="B4" t="s">
        <v>393</v>
      </c>
      <c r="C4">
        <v>1</v>
      </c>
    </row>
    <row r="5" spans="1:3" x14ac:dyDescent="0.3">
      <c r="A5" t="s">
        <v>358</v>
      </c>
      <c r="B5" t="s">
        <v>394</v>
      </c>
      <c r="C5">
        <v>2</v>
      </c>
    </row>
    <row r="6" spans="1:3" x14ac:dyDescent="0.3">
      <c r="A6" t="s">
        <v>365</v>
      </c>
      <c r="B6" t="s">
        <v>395</v>
      </c>
      <c r="C6">
        <v>1</v>
      </c>
    </row>
    <row r="7" spans="1:3" x14ac:dyDescent="0.3">
      <c r="A7" t="s">
        <v>365</v>
      </c>
      <c r="B7" t="s">
        <v>396</v>
      </c>
      <c r="C7">
        <v>2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3" width="12" customWidth="1"/>
    <col min="4" max="4" width="22" customWidth="1"/>
    <col min="5" max="7" width="12" customWidth="1"/>
    <col min="8" max="8" width="42" customWidth="1"/>
    <col min="9" max="10" width="12" customWidth="1"/>
  </cols>
  <sheetData>
    <row r="1" spans="1:10" x14ac:dyDescent="0.3">
      <c r="A1" s="10" t="s">
        <v>383</v>
      </c>
      <c r="B1" s="10" t="s">
        <v>382</v>
      </c>
      <c r="C1" s="10" t="s">
        <v>397</v>
      </c>
      <c r="D1" s="10" t="s">
        <v>187</v>
      </c>
      <c r="E1" s="10" t="s">
        <v>189</v>
      </c>
      <c r="F1" s="10" t="s">
        <v>400</v>
      </c>
      <c r="G1" s="10" t="s">
        <v>399</v>
      </c>
      <c r="H1" s="10" t="s">
        <v>340</v>
      </c>
      <c r="I1" s="10" t="s">
        <v>337</v>
      </c>
      <c r="J1" s="10" t="s">
        <v>403</v>
      </c>
    </row>
    <row r="2" spans="1:10" x14ac:dyDescent="0.3">
      <c r="A2" s="8">
        <v>46389</v>
      </c>
      <c r="B2" t="s">
        <v>389</v>
      </c>
      <c r="C2" t="s">
        <v>404</v>
      </c>
      <c r="D2" t="s">
        <v>203</v>
      </c>
      <c r="E2" t="s">
        <v>204</v>
      </c>
      <c r="F2" t="s">
        <v>196</v>
      </c>
      <c r="G2" s="9">
        <v>200000</v>
      </c>
      <c r="H2" t="s">
        <v>349</v>
      </c>
      <c r="J2" t="s">
        <v>342</v>
      </c>
    </row>
    <row r="3" spans="1:10" x14ac:dyDescent="0.3">
      <c r="A3" s="8">
        <v>46389</v>
      </c>
      <c r="B3" t="s">
        <v>389</v>
      </c>
      <c r="C3" t="s">
        <v>405</v>
      </c>
      <c r="D3" t="s">
        <v>265</v>
      </c>
      <c r="E3" t="s">
        <v>266</v>
      </c>
      <c r="F3" t="s">
        <v>231</v>
      </c>
      <c r="G3" s="9">
        <v>200000</v>
      </c>
      <c r="H3" t="s">
        <v>349</v>
      </c>
      <c r="J3" t="s">
        <v>342</v>
      </c>
    </row>
    <row r="4" spans="1:10" x14ac:dyDescent="0.3">
      <c r="A4" s="8">
        <v>46392</v>
      </c>
      <c r="B4" t="s">
        <v>392</v>
      </c>
      <c r="C4" t="s">
        <v>406</v>
      </c>
      <c r="D4" t="s">
        <v>215</v>
      </c>
      <c r="E4" t="s">
        <v>216</v>
      </c>
      <c r="F4" t="s">
        <v>196</v>
      </c>
      <c r="G4" s="9">
        <v>85000</v>
      </c>
      <c r="H4" t="s">
        <v>357</v>
      </c>
      <c r="I4" t="s">
        <v>354</v>
      </c>
      <c r="J4" t="s">
        <v>351</v>
      </c>
    </row>
    <row r="5" spans="1:10" x14ac:dyDescent="0.3">
      <c r="A5" s="8">
        <v>46392</v>
      </c>
      <c r="B5" t="s">
        <v>392</v>
      </c>
      <c r="C5" t="s">
        <v>407</v>
      </c>
      <c r="D5" t="s">
        <v>203</v>
      </c>
      <c r="E5" t="s">
        <v>204</v>
      </c>
      <c r="F5" t="s">
        <v>231</v>
      </c>
      <c r="G5" s="9">
        <v>85000</v>
      </c>
      <c r="H5" t="s">
        <v>357</v>
      </c>
      <c r="I5" t="s">
        <v>354</v>
      </c>
      <c r="J5" t="s">
        <v>351</v>
      </c>
    </row>
    <row r="6" spans="1:10" x14ac:dyDescent="0.3">
      <c r="A6" s="8">
        <v>46399</v>
      </c>
      <c r="B6" t="s">
        <v>393</v>
      </c>
      <c r="C6" t="s">
        <v>408</v>
      </c>
      <c r="D6" t="s">
        <v>211</v>
      </c>
      <c r="E6" t="s">
        <v>210</v>
      </c>
      <c r="F6" t="s">
        <v>196</v>
      </c>
      <c r="G6" s="9">
        <v>70000</v>
      </c>
      <c r="H6" t="s">
        <v>364</v>
      </c>
      <c r="I6" t="s">
        <v>361</v>
      </c>
      <c r="J6" t="s">
        <v>358</v>
      </c>
    </row>
    <row r="7" spans="1:10" x14ac:dyDescent="0.3">
      <c r="A7" s="8">
        <v>46399</v>
      </c>
      <c r="B7" t="s">
        <v>393</v>
      </c>
      <c r="C7" t="s">
        <v>409</v>
      </c>
      <c r="D7" t="s">
        <v>281</v>
      </c>
      <c r="E7" t="s">
        <v>282</v>
      </c>
      <c r="F7" t="s">
        <v>231</v>
      </c>
      <c r="G7" s="9">
        <v>70000</v>
      </c>
      <c r="H7" t="s">
        <v>364</v>
      </c>
      <c r="I7" t="s">
        <v>361</v>
      </c>
      <c r="J7" t="s">
        <v>358</v>
      </c>
    </row>
    <row r="8" spans="1:10" x14ac:dyDescent="0.3">
      <c r="A8" s="8">
        <v>46399</v>
      </c>
      <c r="B8" t="s">
        <v>394</v>
      </c>
      <c r="C8" t="s">
        <v>410</v>
      </c>
      <c r="D8" t="s">
        <v>288</v>
      </c>
      <c r="E8" t="s">
        <v>287</v>
      </c>
      <c r="F8" t="s">
        <v>196</v>
      </c>
      <c r="G8" s="9">
        <v>59500</v>
      </c>
      <c r="H8" t="s">
        <v>411</v>
      </c>
      <c r="I8" t="s">
        <v>361</v>
      </c>
      <c r="J8" t="s">
        <v>358</v>
      </c>
    </row>
    <row r="9" spans="1:10" x14ac:dyDescent="0.3">
      <c r="A9" s="8">
        <v>46399</v>
      </c>
      <c r="B9" t="s">
        <v>394</v>
      </c>
      <c r="C9" t="s">
        <v>412</v>
      </c>
      <c r="D9" t="s">
        <v>215</v>
      </c>
      <c r="E9" t="s">
        <v>216</v>
      </c>
      <c r="F9" t="s">
        <v>231</v>
      </c>
      <c r="G9" s="9">
        <v>59500</v>
      </c>
      <c r="H9" t="s">
        <v>411</v>
      </c>
      <c r="I9" t="s">
        <v>361</v>
      </c>
      <c r="J9" t="s">
        <v>358</v>
      </c>
    </row>
    <row r="10" spans="1:10" x14ac:dyDescent="0.3">
      <c r="A10" s="8">
        <v>46407</v>
      </c>
      <c r="B10" t="s">
        <v>395</v>
      </c>
      <c r="C10" t="s">
        <v>413</v>
      </c>
      <c r="D10" t="s">
        <v>203</v>
      </c>
      <c r="E10" t="s">
        <v>204</v>
      </c>
      <c r="F10" t="s">
        <v>196</v>
      </c>
      <c r="G10" s="9">
        <v>30000</v>
      </c>
      <c r="H10" t="s">
        <v>369</v>
      </c>
      <c r="I10" t="s">
        <v>367</v>
      </c>
      <c r="J10" t="s">
        <v>365</v>
      </c>
    </row>
    <row r="11" spans="1:10" x14ac:dyDescent="0.3">
      <c r="A11" s="8">
        <v>46407</v>
      </c>
      <c r="B11" t="s">
        <v>395</v>
      </c>
      <c r="C11" t="s">
        <v>414</v>
      </c>
      <c r="D11" t="s">
        <v>281</v>
      </c>
      <c r="E11" t="s">
        <v>282</v>
      </c>
      <c r="F11" t="s">
        <v>231</v>
      </c>
      <c r="G11" s="9">
        <v>30000</v>
      </c>
      <c r="H11" t="s">
        <v>369</v>
      </c>
      <c r="I11" t="s">
        <v>367</v>
      </c>
      <c r="J11" t="s">
        <v>365</v>
      </c>
    </row>
    <row r="12" spans="1:10" x14ac:dyDescent="0.3">
      <c r="A12" s="8">
        <v>46407</v>
      </c>
      <c r="B12" t="s">
        <v>396</v>
      </c>
      <c r="C12" t="s">
        <v>415</v>
      </c>
      <c r="D12" t="s">
        <v>288</v>
      </c>
      <c r="E12" t="s">
        <v>287</v>
      </c>
      <c r="F12" t="s">
        <v>196</v>
      </c>
      <c r="G12" s="9">
        <v>25500</v>
      </c>
      <c r="H12" t="s">
        <v>416</v>
      </c>
      <c r="I12" t="s">
        <v>367</v>
      </c>
      <c r="J12" t="s">
        <v>365</v>
      </c>
    </row>
    <row r="13" spans="1:10" x14ac:dyDescent="0.3">
      <c r="A13" s="8">
        <v>46407</v>
      </c>
      <c r="B13" t="s">
        <v>396</v>
      </c>
      <c r="C13" t="s">
        <v>417</v>
      </c>
      <c r="D13" t="s">
        <v>215</v>
      </c>
      <c r="E13" t="s">
        <v>216</v>
      </c>
      <c r="F13" t="s">
        <v>231</v>
      </c>
      <c r="G13" s="9">
        <v>25500</v>
      </c>
      <c r="H13" t="s">
        <v>416</v>
      </c>
      <c r="I13" t="s">
        <v>367</v>
      </c>
      <c r="J13" t="s">
        <v>365</v>
      </c>
    </row>
  </sheetData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M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7" width="12" customWidth="1"/>
    <col min="8" max="8" width="20" customWidth="1"/>
    <col min="9" max="9" width="16" customWidth="1"/>
    <col min="10" max="10" width="12" customWidth="1"/>
    <col min="11" max="11" width="14" customWidth="1"/>
    <col min="12" max="12" width="42" customWidth="1"/>
    <col min="13" max="13" width="12" customWidth="1"/>
  </cols>
  <sheetData>
    <row r="1" spans="1:13" x14ac:dyDescent="0.3">
      <c r="A1" s="10" t="s">
        <v>187</v>
      </c>
      <c r="B1" s="10" t="s">
        <v>189</v>
      </c>
      <c r="C1" s="10" t="s">
        <v>383</v>
      </c>
      <c r="D1" s="10" t="s">
        <v>382</v>
      </c>
      <c r="E1" s="10" t="s">
        <v>397</v>
      </c>
      <c r="F1" s="10" t="s">
        <v>419</v>
      </c>
      <c r="G1" s="10" t="s">
        <v>420</v>
      </c>
      <c r="H1" s="10" t="s">
        <v>421</v>
      </c>
      <c r="I1" s="10" t="s">
        <v>422</v>
      </c>
      <c r="J1" s="10" t="s">
        <v>423</v>
      </c>
      <c r="K1" s="10" t="s">
        <v>424</v>
      </c>
      <c r="L1" s="10" t="s">
        <v>340</v>
      </c>
      <c r="M1" s="10" t="s">
        <v>403</v>
      </c>
    </row>
    <row r="2" spans="1:13" x14ac:dyDescent="0.3">
      <c r="A2" t="s">
        <v>203</v>
      </c>
      <c r="B2" t="s">
        <v>204</v>
      </c>
      <c r="C2" s="8">
        <v>46389</v>
      </c>
      <c r="D2" t="s">
        <v>389</v>
      </c>
      <c r="E2" t="s">
        <v>404</v>
      </c>
      <c r="F2" s="9">
        <v>200000</v>
      </c>
      <c r="G2" s="9">
        <v>0</v>
      </c>
      <c r="H2" s="9">
        <v>200000</v>
      </c>
      <c r="I2" s="9">
        <v>200000</v>
      </c>
      <c r="J2" s="9">
        <v>200000</v>
      </c>
      <c r="K2" t="s">
        <v>196</v>
      </c>
      <c r="L2" t="s">
        <v>349</v>
      </c>
      <c r="M2" t="s">
        <v>342</v>
      </c>
    </row>
    <row r="3" spans="1:13" x14ac:dyDescent="0.3">
      <c r="A3" t="s">
        <v>203</v>
      </c>
      <c r="B3" t="s">
        <v>204</v>
      </c>
      <c r="C3" s="8">
        <v>46392</v>
      </c>
      <c r="D3" t="s">
        <v>392</v>
      </c>
      <c r="E3" t="s">
        <v>407</v>
      </c>
      <c r="F3" s="9">
        <v>0</v>
      </c>
      <c r="G3" s="9">
        <v>85000</v>
      </c>
      <c r="H3" s="9">
        <v>-85000</v>
      </c>
      <c r="I3" s="9">
        <v>115000</v>
      </c>
      <c r="J3" s="9">
        <v>115000</v>
      </c>
      <c r="K3" t="s">
        <v>196</v>
      </c>
      <c r="L3" t="s">
        <v>357</v>
      </c>
      <c r="M3" t="s">
        <v>351</v>
      </c>
    </row>
    <row r="4" spans="1:13" x14ac:dyDescent="0.3">
      <c r="A4" t="s">
        <v>203</v>
      </c>
      <c r="B4" t="s">
        <v>204</v>
      </c>
      <c r="C4" s="8">
        <v>46407</v>
      </c>
      <c r="D4" t="s">
        <v>395</v>
      </c>
      <c r="E4" t="s">
        <v>413</v>
      </c>
      <c r="F4" s="9">
        <v>30000</v>
      </c>
      <c r="G4" s="9">
        <v>0</v>
      </c>
      <c r="H4" s="9">
        <v>30000</v>
      </c>
      <c r="I4" s="9">
        <v>145000</v>
      </c>
      <c r="J4" s="9">
        <v>145000</v>
      </c>
      <c r="K4" t="s">
        <v>196</v>
      </c>
      <c r="L4" t="s">
        <v>369</v>
      </c>
      <c r="M4" t="s">
        <v>365</v>
      </c>
    </row>
    <row r="5" spans="1:13" x14ac:dyDescent="0.3">
      <c r="A5" t="s">
        <v>211</v>
      </c>
      <c r="B5" t="s">
        <v>210</v>
      </c>
      <c r="C5" s="8">
        <v>46399</v>
      </c>
      <c r="D5" t="s">
        <v>393</v>
      </c>
      <c r="E5" t="s">
        <v>408</v>
      </c>
      <c r="F5" s="9">
        <v>70000</v>
      </c>
      <c r="G5" s="9">
        <v>0</v>
      </c>
      <c r="H5" s="9">
        <v>70000</v>
      </c>
      <c r="I5" s="9">
        <v>70000</v>
      </c>
      <c r="J5" s="9">
        <v>70000</v>
      </c>
      <c r="K5" t="s">
        <v>196</v>
      </c>
      <c r="L5" t="s">
        <v>364</v>
      </c>
      <c r="M5" t="s">
        <v>358</v>
      </c>
    </row>
    <row r="6" spans="1:13" x14ac:dyDescent="0.3">
      <c r="A6" t="s">
        <v>215</v>
      </c>
      <c r="B6" t="s">
        <v>216</v>
      </c>
      <c r="C6" s="8">
        <v>46392</v>
      </c>
      <c r="D6" t="s">
        <v>392</v>
      </c>
      <c r="E6" t="s">
        <v>406</v>
      </c>
      <c r="F6" s="9">
        <v>85000</v>
      </c>
      <c r="G6" s="9">
        <v>0</v>
      </c>
      <c r="H6" s="9">
        <v>85000</v>
      </c>
      <c r="I6" s="9">
        <v>85000</v>
      </c>
      <c r="J6" s="9">
        <v>85000</v>
      </c>
      <c r="K6" t="s">
        <v>196</v>
      </c>
      <c r="L6" t="s">
        <v>357</v>
      </c>
      <c r="M6" t="s">
        <v>351</v>
      </c>
    </row>
    <row r="7" spans="1:13" x14ac:dyDescent="0.3">
      <c r="A7" t="s">
        <v>215</v>
      </c>
      <c r="B7" t="s">
        <v>216</v>
      </c>
      <c r="C7" s="8">
        <v>46399</v>
      </c>
      <c r="D7" t="s">
        <v>394</v>
      </c>
      <c r="E7" t="s">
        <v>412</v>
      </c>
      <c r="F7" s="9">
        <v>0</v>
      </c>
      <c r="G7" s="9">
        <v>59500</v>
      </c>
      <c r="H7" s="9">
        <v>-59500</v>
      </c>
      <c r="I7" s="9">
        <v>25500</v>
      </c>
      <c r="J7" s="9">
        <v>25500</v>
      </c>
      <c r="K7" t="s">
        <v>196</v>
      </c>
      <c r="L7" t="s">
        <v>411</v>
      </c>
      <c r="M7" t="s">
        <v>358</v>
      </c>
    </row>
    <row r="8" spans="1:13" x14ac:dyDescent="0.3">
      <c r="A8" t="s">
        <v>215</v>
      </c>
      <c r="B8" t="s">
        <v>216</v>
      </c>
      <c r="C8" s="8">
        <v>46407</v>
      </c>
      <c r="D8" t="s">
        <v>396</v>
      </c>
      <c r="E8" t="s">
        <v>417</v>
      </c>
      <c r="F8" s="9">
        <v>0</v>
      </c>
      <c r="G8" s="9">
        <v>25500</v>
      </c>
      <c r="H8" s="9">
        <v>-25500</v>
      </c>
      <c r="I8" s="9">
        <v>0</v>
      </c>
      <c r="J8" s="9">
        <v>0</v>
      </c>
      <c r="K8" t="s">
        <v>196</v>
      </c>
      <c r="L8" t="s">
        <v>416</v>
      </c>
      <c r="M8" t="s">
        <v>365</v>
      </c>
    </row>
    <row r="9" spans="1:13" x14ac:dyDescent="0.3">
      <c r="A9" t="s">
        <v>265</v>
      </c>
      <c r="B9" t="s">
        <v>266</v>
      </c>
      <c r="C9" s="8">
        <v>46389</v>
      </c>
      <c r="D9" t="s">
        <v>389</v>
      </c>
      <c r="E9" t="s">
        <v>405</v>
      </c>
      <c r="F9" s="9">
        <v>0</v>
      </c>
      <c r="G9" s="9">
        <v>200000</v>
      </c>
      <c r="H9" s="9">
        <v>-200000</v>
      </c>
      <c r="I9" s="9">
        <v>-200000</v>
      </c>
      <c r="J9" s="9">
        <v>200000</v>
      </c>
      <c r="K9" t="s">
        <v>231</v>
      </c>
      <c r="L9" t="s">
        <v>349</v>
      </c>
      <c r="M9" t="s">
        <v>342</v>
      </c>
    </row>
    <row r="10" spans="1:13" x14ac:dyDescent="0.3">
      <c r="A10" t="s">
        <v>281</v>
      </c>
      <c r="B10" t="s">
        <v>282</v>
      </c>
      <c r="C10" s="8">
        <v>46399</v>
      </c>
      <c r="D10" t="s">
        <v>393</v>
      </c>
      <c r="E10" t="s">
        <v>409</v>
      </c>
      <c r="F10" s="9">
        <v>0</v>
      </c>
      <c r="G10" s="9">
        <v>70000</v>
      </c>
      <c r="H10" s="9">
        <v>-70000</v>
      </c>
      <c r="I10" s="9">
        <v>-70000</v>
      </c>
      <c r="J10" s="9">
        <v>70000</v>
      </c>
      <c r="K10" t="s">
        <v>231</v>
      </c>
      <c r="L10" t="s">
        <v>364</v>
      </c>
      <c r="M10" t="s">
        <v>358</v>
      </c>
    </row>
    <row r="11" spans="1:13" x14ac:dyDescent="0.3">
      <c r="A11" t="s">
        <v>281</v>
      </c>
      <c r="B11" t="s">
        <v>282</v>
      </c>
      <c r="C11" s="8">
        <v>46407</v>
      </c>
      <c r="D11" t="s">
        <v>395</v>
      </c>
      <c r="E11" t="s">
        <v>414</v>
      </c>
      <c r="F11" s="9">
        <v>0</v>
      </c>
      <c r="G11" s="9">
        <v>30000</v>
      </c>
      <c r="H11" s="9">
        <v>-30000</v>
      </c>
      <c r="I11" s="9">
        <v>-100000</v>
      </c>
      <c r="J11" s="9">
        <v>100000</v>
      </c>
      <c r="K11" t="s">
        <v>231</v>
      </c>
      <c r="L11" t="s">
        <v>369</v>
      </c>
      <c r="M11" t="s">
        <v>365</v>
      </c>
    </row>
    <row r="12" spans="1:13" x14ac:dyDescent="0.3">
      <c r="A12" t="s">
        <v>288</v>
      </c>
      <c r="B12" t="s">
        <v>287</v>
      </c>
      <c r="C12" s="8">
        <v>46399</v>
      </c>
      <c r="D12" t="s">
        <v>394</v>
      </c>
      <c r="E12" t="s">
        <v>410</v>
      </c>
      <c r="F12" s="9">
        <v>59500</v>
      </c>
      <c r="G12" s="9">
        <v>0</v>
      </c>
      <c r="H12" s="9">
        <v>59500</v>
      </c>
      <c r="I12" s="9">
        <v>59500</v>
      </c>
      <c r="J12" s="9">
        <v>59500</v>
      </c>
      <c r="K12" t="s">
        <v>196</v>
      </c>
      <c r="L12" t="s">
        <v>411</v>
      </c>
      <c r="M12" t="s">
        <v>358</v>
      </c>
    </row>
    <row r="13" spans="1:13" x14ac:dyDescent="0.3">
      <c r="A13" t="s">
        <v>288</v>
      </c>
      <c r="B13" t="s">
        <v>287</v>
      </c>
      <c r="C13" s="8">
        <v>46407</v>
      </c>
      <c r="D13" t="s">
        <v>396</v>
      </c>
      <c r="E13" t="s">
        <v>415</v>
      </c>
      <c r="F13" s="9">
        <v>25500</v>
      </c>
      <c r="G13" s="9">
        <v>0</v>
      </c>
      <c r="H13" s="9">
        <v>25500</v>
      </c>
      <c r="I13" s="9">
        <v>85000</v>
      </c>
      <c r="J13" s="9">
        <v>85000</v>
      </c>
      <c r="K13" t="s">
        <v>196</v>
      </c>
      <c r="L13" t="s">
        <v>416</v>
      </c>
      <c r="M13" t="s">
        <v>365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2" customWidth="1"/>
    <col min="4" max="10" width="12" customWidth="1"/>
  </cols>
  <sheetData>
    <row r="1" spans="1:10" x14ac:dyDescent="0.3">
      <c r="A1" s="10" t="s">
        <v>425</v>
      </c>
      <c r="B1" s="10" t="s">
        <v>426</v>
      </c>
      <c r="C1" s="10" t="s">
        <v>187</v>
      </c>
      <c r="D1" s="10" t="s">
        <v>398</v>
      </c>
      <c r="E1" s="10" t="s">
        <v>427</v>
      </c>
      <c r="F1" s="10" t="s">
        <v>428</v>
      </c>
      <c r="G1" s="10" t="s">
        <v>429</v>
      </c>
      <c r="H1" s="10" t="s">
        <v>430</v>
      </c>
      <c r="I1" s="10" t="s">
        <v>431</v>
      </c>
      <c r="J1" s="10" t="s">
        <v>432</v>
      </c>
    </row>
    <row r="2" spans="1:10" x14ac:dyDescent="0.3">
      <c r="A2" s="8">
        <v>46388</v>
      </c>
      <c r="B2" s="8">
        <v>46418</v>
      </c>
      <c r="C2" t="s">
        <v>203</v>
      </c>
      <c r="E2" s="9">
        <v>0</v>
      </c>
      <c r="F2" t="s">
        <v>196</v>
      </c>
      <c r="G2" s="9">
        <v>230000</v>
      </c>
      <c r="H2" s="9">
        <v>85000</v>
      </c>
      <c r="I2" s="9">
        <v>145000</v>
      </c>
      <c r="J2" t="s">
        <v>196</v>
      </c>
    </row>
    <row r="3" spans="1:10" x14ac:dyDescent="0.3">
      <c r="A3" s="8">
        <v>46388</v>
      </c>
      <c r="B3" s="8">
        <v>46418</v>
      </c>
      <c r="C3" t="s">
        <v>206</v>
      </c>
      <c r="E3" s="9">
        <v>0</v>
      </c>
      <c r="F3" t="s">
        <v>196</v>
      </c>
      <c r="G3" s="9">
        <v>0</v>
      </c>
      <c r="H3" s="9">
        <v>0</v>
      </c>
      <c r="I3" s="9">
        <v>0</v>
      </c>
      <c r="J3" t="s">
        <v>196</v>
      </c>
    </row>
    <row r="4" spans="1:10" x14ac:dyDescent="0.3">
      <c r="A4" s="8">
        <v>46388</v>
      </c>
      <c r="B4" s="8">
        <v>46418</v>
      </c>
      <c r="C4" t="s">
        <v>211</v>
      </c>
      <c r="E4" s="9">
        <v>0</v>
      </c>
      <c r="F4" t="s">
        <v>196</v>
      </c>
      <c r="G4" s="9">
        <v>70000</v>
      </c>
      <c r="H4" s="9">
        <v>0</v>
      </c>
      <c r="I4" s="9">
        <v>70000</v>
      </c>
      <c r="J4" t="s">
        <v>196</v>
      </c>
    </row>
    <row r="5" spans="1:10" x14ac:dyDescent="0.3">
      <c r="A5" s="8">
        <v>46388</v>
      </c>
      <c r="B5" s="8">
        <v>46418</v>
      </c>
      <c r="C5" t="s">
        <v>215</v>
      </c>
      <c r="E5" s="9">
        <v>0</v>
      </c>
      <c r="F5" t="s">
        <v>196</v>
      </c>
      <c r="G5" s="9">
        <v>85000</v>
      </c>
      <c r="H5" s="9">
        <v>85000</v>
      </c>
      <c r="I5" s="9">
        <v>0</v>
      </c>
      <c r="J5" t="s">
        <v>196</v>
      </c>
    </row>
    <row r="6" spans="1:10" x14ac:dyDescent="0.3">
      <c r="A6" s="8">
        <v>46388</v>
      </c>
      <c r="B6" s="8">
        <v>46418</v>
      </c>
      <c r="C6" t="s">
        <v>220</v>
      </c>
      <c r="E6" s="9">
        <v>0</v>
      </c>
      <c r="F6" t="s">
        <v>196</v>
      </c>
      <c r="G6" s="9">
        <v>0</v>
      </c>
      <c r="H6" s="9">
        <v>0</v>
      </c>
      <c r="I6" s="9">
        <v>0</v>
      </c>
      <c r="J6" t="s">
        <v>196</v>
      </c>
    </row>
    <row r="7" spans="1:10" x14ac:dyDescent="0.3">
      <c r="A7" s="8">
        <v>46388</v>
      </c>
      <c r="B7" s="8">
        <v>46418</v>
      </c>
      <c r="C7" t="s">
        <v>226</v>
      </c>
      <c r="E7" s="9">
        <v>0</v>
      </c>
      <c r="F7" t="s">
        <v>196</v>
      </c>
      <c r="G7" s="9">
        <v>0</v>
      </c>
      <c r="H7" s="9">
        <v>0</v>
      </c>
      <c r="I7" s="9">
        <v>0</v>
      </c>
      <c r="J7" t="s">
        <v>196</v>
      </c>
    </row>
    <row r="8" spans="1:10" x14ac:dyDescent="0.3">
      <c r="A8" s="8">
        <v>46388</v>
      </c>
      <c r="B8" s="8">
        <v>46418</v>
      </c>
      <c r="C8" t="s">
        <v>229</v>
      </c>
      <c r="E8" s="9">
        <v>0</v>
      </c>
      <c r="F8" t="s">
        <v>196</v>
      </c>
      <c r="G8" s="9">
        <v>0</v>
      </c>
      <c r="H8" s="9">
        <v>0</v>
      </c>
      <c r="I8" s="9">
        <v>0</v>
      </c>
      <c r="J8" t="s">
        <v>196</v>
      </c>
    </row>
    <row r="9" spans="1:10" x14ac:dyDescent="0.3">
      <c r="A9" s="8">
        <v>46388</v>
      </c>
      <c r="B9" s="8">
        <v>46418</v>
      </c>
      <c r="C9" t="s">
        <v>239</v>
      </c>
      <c r="E9" s="9">
        <v>0</v>
      </c>
      <c r="F9" t="s">
        <v>196</v>
      </c>
      <c r="G9" s="9">
        <v>0</v>
      </c>
      <c r="H9" s="9">
        <v>0</v>
      </c>
      <c r="I9" s="9">
        <v>0</v>
      </c>
      <c r="J9" t="s">
        <v>196</v>
      </c>
    </row>
    <row r="10" spans="1:10" x14ac:dyDescent="0.3">
      <c r="A10" s="8">
        <v>46388</v>
      </c>
      <c r="B10" s="8">
        <v>46418</v>
      </c>
      <c r="C10" t="s">
        <v>243</v>
      </c>
      <c r="E10" s="9">
        <v>0</v>
      </c>
      <c r="F10" t="s">
        <v>196</v>
      </c>
      <c r="G10" s="9">
        <v>0</v>
      </c>
      <c r="H10" s="9">
        <v>0</v>
      </c>
      <c r="I10" s="9">
        <v>0</v>
      </c>
      <c r="J10" t="s">
        <v>196</v>
      </c>
    </row>
    <row r="11" spans="1:10" x14ac:dyDescent="0.3">
      <c r="A11" s="8">
        <v>46388</v>
      </c>
      <c r="B11" s="8">
        <v>46418</v>
      </c>
      <c r="C11" t="s">
        <v>248</v>
      </c>
      <c r="E11" s="9">
        <v>0</v>
      </c>
      <c r="F11" t="s">
        <v>196</v>
      </c>
      <c r="G11" s="9">
        <v>0</v>
      </c>
      <c r="H11" s="9">
        <v>0</v>
      </c>
      <c r="I11" s="9">
        <v>0</v>
      </c>
      <c r="J11" t="s">
        <v>196</v>
      </c>
    </row>
    <row r="12" spans="1:10" x14ac:dyDescent="0.3">
      <c r="A12" s="8">
        <v>46388</v>
      </c>
      <c r="B12" s="8">
        <v>46418</v>
      </c>
      <c r="C12" t="s">
        <v>255</v>
      </c>
      <c r="E12" s="9">
        <v>0</v>
      </c>
      <c r="F12" t="s">
        <v>196</v>
      </c>
      <c r="G12" s="9">
        <v>0</v>
      </c>
      <c r="H12" s="9">
        <v>0</v>
      </c>
      <c r="I12" s="9">
        <v>0</v>
      </c>
      <c r="J12" t="s">
        <v>196</v>
      </c>
    </row>
    <row r="13" spans="1:10" x14ac:dyDescent="0.3">
      <c r="A13" s="8">
        <v>46388</v>
      </c>
      <c r="B13" s="8">
        <v>46418</v>
      </c>
      <c r="C13" t="s">
        <v>265</v>
      </c>
      <c r="E13" s="9">
        <v>0</v>
      </c>
      <c r="F13" t="s">
        <v>196</v>
      </c>
      <c r="G13" s="9">
        <v>0</v>
      </c>
      <c r="H13" s="9">
        <v>200000</v>
      </c>
      <c r="I13" s="9">
        <v>200000</v>
      </c>
      <c r="J13" t="s">
        <v>231</v>
      </c>
    </row>
    <row r="14" spans="1:10" x14ac:dyDescent="0.3">
      <c r="A14" s="8">
        <v>46388</v>
      </c>
      <c r="B14" s="8">
        <v>46418</v>
      </c>
      <c r="C14" t="s">
        <v>272</v>
      </c>
      <c r="E14" s="9">
        <v>0</v>
      </c>
      <c r="F14" t="s">
        <v>196</v>
      </c>
      <c r="G14" s="9">
        <v>0</v>
      </c>
      <c r="H14" s="9">
        <v>0</v>
      </c>
      <c r="I14" s="9">
        <v>0</v>
      </c>
      <c r="J14" t="s">
        <v>196</v>
      </c>
    </row>
    <row r="15" spans="1:10" x14ac:dyDescent="0.3">
      <c r="A15" s="8">
        <v>46388</v>
      </c>
      <c r="B15" s="8">
        <v>46418</v>
      </c>
      <c r="C15" t="s">
        <v>281</v>
      </c>
      <c r="E15" s="9">
        <v>0</v>
      </c>
      <c r="F15" t="s">
        <v>196</v>
      </c>
      <c r="G15" s="9">
        <v>0</v>
      </c>
      <c r="H15" s="9">
        <v>100000</v>
      </c>
      <c r="I15" s="9">
        <v>100000</v>
      </c>
      <c r="J15" t="s">
        <v>231</v>
      </c>
    </row>
    <row r="16" spans="1:10" x14ac:dyDescent="0.3">
      <c r="A16" s="8">
        <v>46388</v>
      </c>
      <c r="B16" s="8">
        <v>46418</v>
      </c>
      <c r="C16" t="s">
        <v>288</v>
      </c>
      <c r="E16" s="9">
        <v>0</v>
      </c>
      <c r="F16" t="s">
        <v>196</v>
      </c>
      <c r="G16" s="9">
        <v>85000</v>
      </c>
      <c r="H16" s="9">
        <v>0</v>
      </c>
      <c r="I16" s="9">
        <v>85000</v>
      </c>
      <c r="J16" t="s">
        <v>196</v>
      </c>
    </row>
    <row r="17" spans="1:10" x14ac:dyDescent="0.3">
      <c r="A17" s="8">
        <v>46388</v>
      </c>
      <c r="B17" s="8">
        <v>46418</v>
      </c>
      <c r="C17" t="s">
        <v>294</v>
      </c>
      <c r="E17" s="9">
        <v>0</v>
      </c>
      <c r="F17" t="s">
        <v>196</v>
      </c>
      <c r="G17" s="9">
        <v>0</v>
      </c>
      <c r="H17" s="9">
        <v>0</v>
      </c>
      <c r="I17" s="9">
        <v>0</v>
      </c>
      <c r="J17" t="s">
        <v>196</v>
      </c>
    </row>
    <row r="18" spans="1:10" x14ac:dyDescent="0.3">
      <c r="A18" s="8">
        <v>46388</v>
      </c>
      <c r="B18" s="8">
        <v>46418</v>
      </c>
      <c r="C18" t="s">
        <v>297</v>
      </c>
      <c r="E18" s="9">
        <v>0</v>
      </c>
      <c r="F18" t="s">
        <v>196</v>
      </c>
      <c r="G18" s="9">
        <v>0</v>
      </c>
      <c r="H18" s="9">
        <v>0</v>
      </c>
      <c r="I18" s="9">
        <v>0</v>
      </c>
      <c r="J18" t="s">
        <v>196</v>
      </c>
    </row>
    <row r="19" spans="1:10" x14ac:dyDescent="0.3">
      <c r="A19" s="8">
        <v>46388</v>
      </c>
      <c r="B19" s="8">
        <v>46418</v>
      </c>
      <c r="C19" t="s">
        <v>300</v>
      </c>
      <c r="E19" s="9">
        <v>0</v>
      </c>
      <c r="F19" t="s">
        <v>196</v>
      </c>
      <c r="G19" s="9">
        <v>0</v>
      </c>
      <c r="H19" s="9">
        <v>0</v>
      </c>
      <c r="I19" s="9">
        <v>0</v>
      </c>
      <c r="J19" t="s">
        <v>196</v>
      </c>
    </row>
    <row r="20" spans="1:10" x14ac:dyDescent="0.3">
      <c r="A20" s="8">
        <v>46388</v>
      </c>
      <c r="B20" s="8">
        <v>46418</v>
      </c>
      <c r="C20" t="s">
        <v>303</v>
      </c>
      <c r="E20" s="9">
        <v>0</v>
      </c>
      <c r="F20" t="s">
        <v>196</v>
      </c>
      <c r="G20" s="9">
        <v>0</v>
      </c>
      <c r="H20" s="9">
        <v>0</v>
      </c>
      <c r="I20" s="9">
        <v>0</v>
      </c>
      <c r="J20" t="s">
        <v>196</v>
      </c>
    </row>
    <row r="21" spans="1:10" x14ac:dyDescent="0.3">
      <c r="A21" s="8">
        <v>46388</v>
      </c>
      <c r="B21" s="8">
        <v>46418</v>
      </c>
      <c r="C21" t="s">
        <v>308</v>
      </c>
      <c r="E21" s="9">
        <v>0</v>
      </c>
      <c r="F21" t="s">
        <v>196</v>
      </c>
      <c r="G21" s="9">
        <v>0</v>
      </c>
      <c r="H21" s="9">
        <v>0</v>
      </c>
      <c r="I21" s="9">
        <v>0</v>
      </c>
      <c r="J21" t="s">
        <v>196</v>
      </c>
    </row>
  </sheetData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C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4" customWidth="1"/>
    <col min="3" max="3" width="22" customWidth="1"/>
  </cols>
  <sheetData>
    <row r="1" spans="1:3" x14ac:dyDescent="0.3">
      <c r="A1" s="7" t="s">
        <v>187</v>
      </c>
      <c r="B1" s="7" t="s">
        <v>433</v>
      </c>
      <c r="C1" s="7" t="s">
        <v>434</v>
      </c>
    </row>
    <row r="2" spans="1:3" x14ac:dyDescent="0.3">
      <c r="A2" t="s">
        <v>203</v>
      </c>
      <c r="B2" t="s">
        <v>435</v>
      </c>
      <c r="C2" t="s">
        <v>205</v>
      </c>
    </row>
    <row r="3" spans="1:3" x14ac:dyDescent="0.3">
      <c r="A3" t="s">
        <v>206</v>
      </c>
      <c r="B3" t="s">
        <v>435</v>
      </c>
      <c r="C3" t="s">
        <v>208</v>
      </c>
    </row>
    <row r="4" spans="1:3" x14ac:dyDescent="0.3">
      <c r="A4" t="s">
        <v>211</v>
      </c>
      <c r="B4" t="s">
        <v>435</v>
      </c>
      <c r="C4" t="s">
        <v>212</v>
      </c>
    </row>
    <row r="5" spans="1:3" x14ac:dyDescent="0.3">
      <c r="A5" t="s">
        <v>215</v>
      </c>
      <c r="B5" t="s">
        <v>435</v>
      </c>
      <c r="C5" t="s">
        <v>217</v>
      </c>
    </row>
    <row r="6" spans="1:3" x14ac:dyDescent="0.3">
      <c r="A6" t="s">
        <v>220</v>
      </c>
      <c r="B6" t="s">
        <v>435</v>
      </c>
      <c r="C6" t="s">
        <v>221</v>
      </c>
    </row>
    <row r="7" spans="1:3" x14ac:dyDescent="0.3">
      <c r="A7" t="s">
        <v>226</v>
      </c>
      <c r="B7" t="s">
        <v>435</v>
      </c>
      <c r="C7" t="s">
        <v>228</v>
      </c>
    </row>
    <row r="8" spans="1:3" x14ac:dyDescent="0.3">
      <c r="A8" t="s">
        <v>229</v>
      </c>
      <c r="B8" t="s">
        <v>435</v>
      </c>
      <c r="C8" t="s">
        <v>232</v>
      </c>
    </row>
    <row r="9" spans="1:3" x14ac:dyDescent="0.3">
      <c r="A9" t="s">
        <v>239</v>
      </c>
      <c r="B9" t="s">
        <v>435</v>
      </c>
      <c r="C9" t="s">
        <v>240</v>
      </c>
    </row>
    <row r="10" spans="1:3" x14ac:dyDescent="0.3">
      <c r="A10" t="s">
        <v>243</v>
      </c>
      <c r="B10" t="s">
        <v>435</v>
      </c>
      <c r="C10" t="s">
        <v>245</v>
      </c>
    </row>
    <row r="11" spans="1:3" x14ac:dyDescent="0.3">
      <c r="A11" t="s">
        <v>248</v>
      </c>
      <c r="B11" t="s">
        <v>435</v>
      </c>
      <c r="C11" t="s">
        <v>250</v>
      </c>
    </row>
    <row r="12" spans="1:3" x14ac:dyDescent="0.3">
      <c r="A12" t="s">
        <v>255</v>
      </c>
      <c r="B12" t="s">
        <v>435</v>
      </c>
      <c r="C12" t="s">
        <v>257</v>
      </c>
    </row>
    <row r="13" spans="1:3" x14ac:dyDescent="0.3">
      <c r="A13" t="s">
        <v>265</v>
      </c>
      <c r="B13" t="s">
        <v>435</v>
      </c>
      <c r="C13" t="s">
        <v>267</v>
      </c>
    </row>
    <row r="14" spans="1:3" x14ac:dyDescent="0.3">
      <c r="A14" t="s">
        <v>272</v>
      </c>
      <c r="B14" t="s">
        <v>435</v>
      </c>
      <c r="C14" t="s">
        <v>273</v>
      </c>
    </row>
    <row r="15" spans="1:3" x14ac:dyDescent="0.3">
      <c r="A15" t="s">
        <v>281</v>
      </c>
      <c r="B15" t="s">
        <v>436</v>
      </c>
      <c r="C15" t="s">
        <v>283</v>
      </c>
    </row>
    <row r="16" spans="1:3" x14ac:dyDescent="0.3">
      <c r="A16" t="s">
        <v>288</v>
      </c>
      <c r="B16" t="s">
        <v>436</v>
      </c>
      <c r="C16" t="s">
        <v>289</v>
      </c>
    </row>
    <row r="17" spans="1:3" x14ac:dyDescent="0.3">
      <c r="A17" t="s">
        <v>294</v>
      </c>
      <c r="B17" t="s">
        <v>436</v>
      </c>
      <c r="C17" t="s">
        <v>296</v>
      </c>
    </row>
    <row r="18" spans="1:3" x14ac:dyDescent="0.3">
      <c r="A18" t="s">
        <v>297</v>
      </c>
      <c r="B18" t="s">
        <v>436</v>
      </c>
      <c r="C18" t="s">
        <v>299</v>
      </c>
    </row>
    <row r="19" spans="1:3" x14ac:dyDescent="0.3">
      <c r="A19" t="s">
        <v>300</v>
      </c>
      <c r="B19" t="s">
        <v>436</v>
      </c>
      <c r="C19" t="s">
        <v>302</v>
      </c>
    </row>
    <row r="20" spans="1:3" x14ac:dyDescent="0.3">
      <c r="A20" t="s">
        <v>303</v>
      </c>
      <c r="B20" t="s">
        <v>436</v>
      </c>
      <c r="C20" t="s">
        <v>305</v>
      </c>
    </row>
    <row r="21" spans="1:3" x14ac:dyDescent="0.3">
      <c r="A21" t="s">
        <v>308</v>
      </c>
      <c r="B21" t="s">
        <v>436</v>
      </c>
      <c r="C21" t="s">
        <v>310</v>
      </c>
    </row>
  </sheetData>
  <dataValidations count="1">
    <dataValidation type="list" allowBlank="1" sqref="B2:B1000">
      <formula1>"BP,DRE"</formula1>
    </dataValidation>
  </dataValidations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G2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2" customWidth="1"/>
    <col min="4" max="7" width="12" customWidth="1"/>
  </cols>
  <sheetData>
    <row r="1" spans="1:7" x14ac:dyDescent="0.3">
      <c r="A1" s="10" t="s">
        <v>437</v>
      </c>
      <c r="B1" s="10" t="s">
        <v>62</v>
      </c>
      <c r="C1" s="10" t="s">
        <v>434</v>
      </c>
      <c r="D1" s="10" t="s">
        <v>186</v>
      </c>
      <c r="E1" s="10" t="s">
        <v>438</v>
      </c>
      <c r="F1" s="10" t="s">
        <v>439</v>
      </c>
      <c r="G1" s="10" t="s">
        <v>440</v>
      </c>
    </row>
    <row r="2" spans="1:7" x14ac:dyDescent="0.3">
      <c r="A2" s="8">
        <v>46418</v>
      </c>
      <c r="B2">
        <v>10</v>
      </c>
      <c r="C2" t="s">
        <v>441</v>
      </c>
      <c r="D2">
        <v>1</v>
      </c>
      <c r="E2" t="s">
        <v>442</v>
      </c>
      <c r="F2" t="s">
        <v>195</v>
      </c>
      <c r="G2" s="9">
        <v>215000</v>
      </c>
    </row>
    <row r="3" spans="1:7" x14ac:dyDescent="0.3">
      <c r="A3" s="8">
        <v>46418</v>
      </c>
      <c r="B3">
        <v>20</v>
      </c>
      <c r="C3" t="s">
        <v>443</v>
      </c>
      <c r="D3">
        <v>2</v>
      </c>
      <c r="E3" t="s">
        <v>444</v>
      </c>
      <c r="F3" t="s">
        <v>199</v>
      </c>
      <c r="G3" s="9">
        <v>215000</v>
      </c>
    </row>
    <row r="4" spans="1:7" x14ac:dyDescent="0.3">
      <c r="A4" s="8">
        <v>46418</v>
      </c>
      <c r="B4">
        <v>30</v>
      </c>
      <c r="C4" t="s">
        <v>205</v>
      </c>
      <c r="D4">
        <v>3</v>
      </c>
      <c r="E4" t="s">
        <v>445</v>
      </c>
      <c r="F4" t="s">
        <v>204</v>
      </c>
      <c r="G4" s="9">
        <v>145000</v>
      </c>
    </row>
    <row r="5" spans="1:7" x14ac:dyDescent="0.3">
      <c r="A5" s="8">
        <v>46418</v>
      </c>
      <c r="B5">
        <v>40</v>
      </c>
      <c r="C5" t="s">
        <v>208</v>
      </c>
      <c r="D5">
        <v>3</v>
      </c>
      <c r="E5" t="s">
        <v>445</v>
      </c>
      <c r="F5" t="s">
        <v>207</v>
      </c>
      <c r="G5" s="9">
        <v>0</v>
      </c>
    </row>
    <row r="6" spans="1:7" x14ac:dyDescent="0.3">
      <c r="A6" s="8">
        <v>46418</v>
      </c>
      <c r="B6">
        <v>50</v>
      </c>
      <c r="C6" t="s">
        <v>212</v>
      </c>
      <c r="D6">
        <v>3</v>
      </c>
      <c r="E6" t="s">
        <v>445</v>
      </c>
      <c r="F6" t="s">
        <v>210</v>
      </c>
      <c r="G6" s="9">
        <v>70000</v>
      </c>
    </row>
    <row r="7" spans="1:7" x14ac:dyDescent="0.3">
      <c r="A7" s="8">
        <v>46418</v>
      </c>
      <c r="B7">
        <v>60</v>
      </c>
      <c r="C7" t="s">
        <v>217</v>
      </c>
      <c r="D7">
        <v>3</v>
      </c>
      <c r="E7" t="s">
        <v>445</v>
      </c>
      <c r="F7" t="s">
        <v>214</v>
      </c>
      <c r="G7" s="9">
        <v>0</v>
      </c>
    </row>
    <row r="8" spans="1:7" x14ac:dyDescent="0.3">
      <c r="A8" s="8">
        <v>46418</v>
      </c>
      <c r="B8">
        <v>70</v>
      </c>
      <c r="C8" t="s">
        <v>221</v>
      </c>
      <c r="D8">
        <v>3</v>
      </c>
      <c r="E8" t="s">
        <v>445</v>
      </c>
      <c r="F8" t="s">
        <v>219</v>
      </c>
      <c r="G8" s="9">
        <v>0</v>
      </c>
    </row>
    <row r="9" spans="1:7" x14ac:dyDescent="0.3">
      <c r="A9" s="8">
        <v>46418</v>
      </c>
      <c r="B9">
        <v>80</v>
      </c>
      <c r="C9" t="s">
        <v>446</v>
      </c>
      <c r="D9">
        <v>2</v>
      </c>
      <c r="E9" t="s">
        <v>444</v>
      </c>
      <c r="F9" t="s">
        <v>223</v>
      </c>
      <c r="G9" s="9">
        <v>0</v>
      </c>
    </row>
    <row r="10" spans="1:7" x14ac:dyDescent="0.3">
      <c r="A10" s="8">
        <v>46418</v>
      </c>
      <c r="B10">
        <v>90</v>
      </c>
      <c r="C10" t="s">
        <v>228</v>
      </c>
      <c r="D10">
        <v>3</v>
      </c>
      <c r="E10" t="s">
        <v>445</v>
      </c>
      <c r="F10" t="s">
        <v>225</v>
      </c>
      <c r="G10" s="9">
        <v>0</v>
      </c>
    </row>
    <row r="11" spans="1:7" x14ac:dyDescent="0.3">
      <c r="A11" s="8">
        <v>46418</v>
      </c>
      <c r="B11">
        <v>100</v>
      </c>
      <c r="C11" t="s">
        <v>232</v>
      </c>
      <c r="D11">
        <v>3</v>
      </c>
      <c r="E11" t="s">
        <v>445</v>
      </c>
      <c r="F11" t="s">
        <v>230</v>
      </c>
      <c r="G11" s="9">
        <v>0</v>
      </c>
    </row>
    <row r="12" spans="1:7" x14ac:dyDescent="0.3">
      <c r="A12" s="8">
        <v>46418</v>
      </c>
      <c r="B12">
        <v>110</v>
      </c>
      <c r="C12" t="s">
        <v>447</v>
      </c>
      <c r="D12">
        <v>1</v>
      </c>
      <c r="E12" t="s">
        <v>442</v>
      </c>
      <c r="F12" t="s">
        <v>30</v>
      </c>
      <c r="G12" s="9">
        <v>0</v>
      </c>
    </row>
    <row r="13" spans="1:7" x14ac:dyDescent="0.3">
      <c r="A13" s="8">
        <v>46418</v>
      </c>
      <c r="B13">
        <v>120</v>
      </c>
      <c r="C13" t="s">
        <v>448</v>
      </c>
      <c r="D13">
        <v>2</v>
      </c>
      <c r="E13" t="s">
        <v>444</v>
      </c>
      <c r="F13" t="s">
        <v>236</v>
      </c>
      <c r="G13" s="9">
        <v>0</v>
      </c>
    </row>
    <row r="14" spans="1:7" x14ac:dyDescent="0.3">
      <c r="A14" s="8">
        <v>46418</v>
      </c>
      <c r="B14">
        <v>130</v>
      </c>
      <c r="C14" t="s">
        <v>240</v>
      </c>
      <c r="D14">
        <v>3</v>
      </c>
      <c r="E14" t="s">
        <v>445</v>
      </c>
      <c r="F14" t="s">
        <v>238</v>
      </c>
      <c r="G14" s="9">
        <v>0</v>
      </c>
    </row>
    <row r="15" spans="1:7" x14ac:dyDescent="0.3">
      <c r="A15" s="8">
        <v>46418</v>
      </c>
      <c r="B15">
        <v>140</v>
      </c>
      <c r="C15" t="s">
        <v>245</v>
      </c>
      <c r="D15">
        <v>3</v>
      </c>
      <c r="E15" t="s">
        <v>445</v>
      </c>
      <c r="F15" t="s">
        <v>242</v>
      </c>
      <c r="G15" s="9">
        <v>0</v>
      </c>
    </row>
    <row r="16" spans="1:7" x14ac:dyDescent="0.3">
      <c r="A16" s="8">
        <v>46418</v>
      </c>
      <c r="B16">
        <v>150</v>
      </c>
      <c r="C16" t="s">
        <v>250</v>
      </c>
      <c r="D16">
        <v>3</v>
      </c>
      <c r="E16" t="s">
        <v>445</v>
      </c>
      <c r="F16" t="s">
        <v>247</v>
      </c>
      <c r="G16" s="9">
        <v>0</v>
      </c>
    </row>
    <row r="17" spans="1:7" x14ac:dyDescent="0.3">
      <c r="A17" s="8">
        <v>46418</v>
      </c>
      <c r="B17">
        <v>160</v>
      </c>
      <c r="C17" t="s">
        <v>449</v>
      </c>
      <c r="D17">
        <v>2</v>
      </c>
      <c r="E17" t="s">
        <v>444</v>
      </c>
      <c r="F17" t="s">
        <v>252</v>
      </c>
      <c r="G17" s="9">
        <v>0</v>
      </c>
    </row>
    <row r="18" spans="1:7" x14ac:dyDescent="0.3">
      <c r="A18" s="8">
        <v>46418</v>
      </c>
      <c r="B18">
        <v>170</v>
      </c>
      <c r="C18" t="s">
        <v>257</v>
      </c>
      <c r="D18">
        <v>3</v>
      </c>
      <c r="E18" t="s">
        <v>445</v>
      </c>
      <c r="F18" t="s">
        <v>254</v>
      </c>
      <c r="G18" s="9">
        <v>0</v>
      </c>
    </row>
    <row r="19" spans="1:7" x14ac:dyDescent="0.3">
      <c r="A19" s="8">
        <v>46418</v>
      </c>
      <c r="B19">
        <v>180</v>
      </c>
      <c r="C19" t="s">
        <v>450</v>
      </c>
      <c r="D19">
        <v>1</v>
      </c>
      <c r="E19" t="s">
        <v>444</v>
      </c>
      <c r="F19" t="s">
        <v>260</v>
      </c>
      <c r="G19" s="9">
        <v>215000</v>
      </c>
    </row>
    <row r="20" spans="1:7" x14ac:dyDescent="0.3">
      <c r="A20" s="8">
        <v>46418</v>
      </c>
      <c r="B20">
        <v>190</v>
      </c>
      <c r="C20" t="s">
        <v>267</v>
      </c>
      <c r="D20">
        <v>2</v>
      </c>
      <c r="E20" t="s">
        <v>445</v>
      </c>
      <c r="F20" t="s">
        <v>264</v>
      </c>
      <c r="G20" s="9">
        <v>200000</v>
      </c>
    </row>
    <row r="21" spans="1:7" x14ac:dyDescent="0.3">
      <c r="A21" s="8">
        <v>46418</v>
      </c>
      <c r="B21">
        <v>200</v>
      </c>
      <c r="C21" t="s">
        <v>273</v>
      </c>
      <c r="D21">
        <v>2</v>
      </c>
      <c r="E21" t="s">
        <v>445</v>
      </c>
      <c r="F21" t="s">
        <v>269</v>
      </c>
      <c r="G21" s="9">
        <v>0</v>
      </c>
    </row>
    <row r="22" spans="1:7" x14ac:dyDescent="0.3">
      <c r="A22" s="8">
        <v>46418</v>
      </c>
      <c r="B22">
        <v>210</v>
      </c>
      <c r="C22" t="s">
        <v>451</v>
      </c>
      <c r="D22">
        <v>2</v>
      </c>
      <c r="E22" t="s">
        <v>452</v>
      </c>
      <c r="F22" t="s">
        <v>453</v>
      </c>
      <c r="G22" s="9">
        <v>15000</v>
      </c>
    </row>
    <row r="23" spans="1:7" x14ac:dyDescent="0.3">
      <c r="A23" s="8">
        <v>46418</v>
      </c>
      <c r="B23">
        <v>220</v>
      </c>
      <c r="C23" t="s">
        <v>454</v>
      </c>
      <c r="D23">
        <v>1</v>
      </c>
      <c r="E23" t="s">
        <v>442</v>
      </c>
      <c r="F23" t="s">
        <v>455</v>
      </c>
      <c r="G23" s="9">
        <v>215000</v>
      </c>
    </row>
  </sheetData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3" width="12" customWidth="1"/>
    <col min="4" max="4" width="22" customWidth="1"/>
    <col min="5" max="8" width="12" customWidth="1"/>
  </cols>
  <sheetData>
    <row r="1" spans="1:8" x14ac:dyDescent="0.3">
      <c r="A1" s="10" t="s">
        <v>425</v>
      </c>
      <c r="B1" s="10" t="s">
        <v>426</v>
      </c>
      <c r="C1" s="10" t="s">
        <v>62</v>
      </c>
      <c r="D1" s="10" t="s">
        <v>434</v>
      </c>
      <c r="E1" s="10" t="s">
        <v>186</v>
      </c>
      <c r="F1" s="10" t="s">
        <v>438</v>
      </c>
      <c r="G1" s="10" t="s">
        <v>439</v>
      </c>
      <c r="H1" s="10" t="s">
        <v>440</v>
      </c>
    </row>
    <row r="2" spans="1:8" x14ac:dyDescent="0.3">
      <c r="A2" s="8">
        <v>46388</v>
      </c>
      <c r="B2" s="8">
        <v>46418</v>
      </c>
      <c r="C2">
        <v>10</v>
      </c>
      <c r="D2" t="s">
        <v>283</v>
      </c>
      <c r="E2">
        <v>1</v>
      </c>
      <c r="F2" t="s">
        <v>445</v>
      </c>
      <c r="G2" t="s">
        <v>282</v>
      </c>
      <c r="H2" s="9">
        <v>100000</v>
      </c>
    </row>
    <row r="3" spans="1:8" x14ac:dyDescent="0.3">
      <c r="A3" s="8">
        <v>46388</v>
      </c>
      <c r="B3" s="8">
        <v>46418</v>
      </c>
      <c r="C3">
        <v>20</v>
      </c>
      <c r="D3" t="s">
        <v>456</v>
      </c>
      <c r="E3">
        <v>1</v>
      </c>
      <c r="F3" t="s">
        <v>444</v>
      </c>
      <c r="G3" t="s">
        <v>457</v>
      </c>
      <c r="H3" s="9">
        <v>100000</v>
      </c>
    </row>
    <row r="4" spans="1:8" x14ac:dyDescent="0.3">
      <c r="A4" s="8">
        <v>46388</v>
      </c>
      <c r="B4" s="8">
        <v>46418</v>
      </c>
      <c r="C4">
        <v>30</v>
      </c>
      <c r="D4" t="s">
        <v>289</v>
      </c>
      <c r="E4">
        <v>1</v>
      </c>
      <c r="F4" t="s">
        <v>445</v>
      </c>
      <c r="G4" t="s">
        <v>458</v>
      </c>
      <c r="H4" s="9">
        <v>-85000</v>
      </c>
    </row>
    <row r="5" spans="1:8" x14ac:dyDescent="0.3">
      <c r="A5" s="8">
        <v>46388</v>
      </c>
      <c r="B5" s="8">
        <v>46418</v>
      </c>
      <c r="C5">
        <v>40</v>
      </c>
      <c r="D5" t="s">
        <v>459</v>
      </c>
      <c r="E5">
        <v>1</v>
      </c>
      <c r="F5" t="s">
        <v>444</v>
      </c>
      <c r="G5" t="s">
        <v>460</v>
      </c>
      <c r="H5" s="9">
        <v>15000</v>
      </c>
    </row>
    <row r="6" spans="1:8" x14ac:dyDescent="0.3">
      <c r="A6" s="8">
        <v>46388</v>
      </c>
      <c r="B6" s="8">
        <v>46418</v>
      </c>
      <c r="C6">
        <v>50</v>
      </c>
      <c r="D6" t="s">
        <v>296</v>
      </c>
      <c r="E6">
        <v>2</v>
      </c>
      <c r="F6" t="s">
        <v>445</v>
      </c>
      <c r="G6" t="s">
        <v>461</v>
      </c>
      <c r="H6" s="9">
        <v>0</v>
      </c>
    </row>
    <row r="7" spans="1:8" x14ac:dyDescent="0.3">
      <c r="A7" s="8">
        <v>46388</v>
      </c>
      <c r="B7" s="8">
        <v>46418</v>
      </c>
      <c r="C7">
        <v>60</v>
      </c>
      <c r="D7" t="s">
        <v>299</v>
      </c>
      <c r="E7">
        <v>2</v>
      </c>
      <c r="F7" t="s">
        <v>445</v>
      </c>
      <c r="G7" t="s">
        <v>462</v>
      </c>
      <c r="H7" s="9">
        <v>0</v>
      </c>
    </row>
    <row r="8" spans="1:8" x14ac:dyDescent="0.3">
      <c r="A8" s="8">
        <v>46388</v>
      </c>
      <c r="B8" s="8">
        <v>46418</v>
      </c>
      <c r="C8">
        <v>70</v>
      </c>
      <c r="D8" t="s">
        <v>302</v>
      </c>
      <c r="E8">
        <v>2</v>
      </c>
      <c r="F8" t="s">
        <v>445</v>
      </c>
      <c r="G8" t="s">
        <v>463</v>
      </c>
      <c r="H8" s="9">
        <v>0</v>
      </c>
    </row>
    <row r="9" spans="1:8" x14ac:dyDescent="0.3">
      <c r="A9" s="8">
        <v>46388</v>
      </c>
      <c r="B9" s="8">
        <v>46418</v>
      </c>
      <c r="C9">
        <v>80</v>
      </c>
      <c r="D9" t="s">
        <v>305</v>
      </c>
      <c r="E9">
        <v>2</v>
      </c>
      <c r="F9" t="s">
        <v>445</v>
      </c>
      <c r="G9" t="s">
        <v>464</v>
      </c>
      <c r="H9" s="9">
        <v>0</v>
      </c>
    </row>
    <row r="10" spans="1:8" x14ac:dyDescent="0.3">
      <c r="A10" s="8">
        <v>46388</v>
      </c>
      <c r="B10" s="8">
        <v>46418</v>
      </c>
      <c r="C10">
        <v>90</v>
      </c>
      <c r="D10" t="s">
        <v>465</v>
      </c>
      <c r="E10">
        <v>1</v>
      </c>
      <c r="F10" t="s">
        <v>444</v>
      </c>
      <c r="G10" t="s">
        <v>291</v>
      </c>
      <c r="H10" s="9">
        <v>0</v>
      </c>
    </row>
    <row r="11" spans="1:8" x14ac:dyDescent="0.3">
      <c r="A11" s="8">
        <v>46388</v>
      </c>
      <c r="B11" s="8">
        <v>46418</v>
      </c>
      <c r="C11">
        <v>100</v>
      </c>
      <c r="D11" t="s">
        <v>310</v>
      </c>
      <c r="E11">
        <v>1</v>
      </c>
      <c r="F11" t="s">
        <v>445</v>
      </c>
      <c r="G11" t="s">
        <v>466</v>
      </c>
      <c r="H11" s="9">
        <v>0</v>
      </c>
    </row>
    <row r="12" spans="1:8" x14ac:dyDescent="0.3">
      <c r="A12" s="8">
        <v>46388</v>
      </c>
      <c r="B12" s="8">
        <v>46418</v>
      </c>
      <c r="C12">
        <v>110</v>
      </c>
      <c r="D12" t="s">
        <v>467</v>
      </c>
      <c r="E12">
        <v>1</v>
      </c>
      <c r="F12" t="s">
        <v>442</v>
      </c>
      <c r="G12" t="s">
        <v>453</v>
      </c>
      <c r="H12" s="9">
        <v>15000</v>
      </c>
    </row>
  </sheetData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K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3" customWidth="1"/>
    <col min="3" max="4" width="12" customWidth="1"/>
    <col min="5" max="5" width="25" customWidth="1"/>
    <col min="6" max="6" width="17" customWidth="1"/>
    <col min="7" max="7" width="12" customWidth="1"/>
    <col min="8" max="8" width="16" customWidth="1"/>
    <col min="9" max="9" width="17" customWidth="1"/>
    <col min="10" max="10" width="21" customWidth="1"/>
    <col min="11" max="11" width="12" customWidth="1"/>
  </cols>
  <sheetData>
    <row r="1" spans="1:11" x14ac:dyDescent="0.3">
      <c r="A1" s="7" t="s">
        <v>468</v>
      </c>
      <c r="B1" s="7" t="s">
        <v>164</v>
      </c>
      <c r="C1" s="7" t="s">
        <v>469</v>
      </c>
      <c r="D1" s="7" t="s">
        <v>470</v>
      </c>
      <c r="E1" s="7" t="s">
        <v>471</v>
      </c>
      <c r="F1" s="7" t="s">
        <v>472</v>
      </c>
      <c r="G1" s="7" t="s">
        <v>473</v>
      </c>
      <c r="H1" s="7" t="s">
        <v>474</v>
      </c>
      <c r="I1" s="7" t="s">
        <v>475</v>
      </c>
      <c r="J1" s="7" t="s">
        <v>476</v>
      </c>
      <c r="K1" s="7" t="s">
        <v>477</v>
      </c>
    </row>
    <row r="2" spans="1:11" x14ac:dyDescent="0.3">
      <c r="A2" t="s">
        <v>14</v>
      </c>
      <c r="B2" t="s">
        <v>168</v>
      </c>
      <c r="C2" t="s">
        <v>478</v>
      </c>
      <c r="D2" t="b">
        <v>1</v>
      </c>
      <c r="E2" s="8">
        <v>46418</v>
      </c>
      <c r="F2" t="s">
        <v>479</v>
      </c>
      <c r="G2" t="s">
        <v>479</v>
      </c>
      <c r="H2" t="s">
        <v>480</v>
      </c>
      <c r="J2" t="s">
        <v>481</v>
      </c>
      <c r="K2" t="b">
        <v>1</v>
      </c>
    </row>
    <row r="3" spans="1:11" x14ac:dyDescent="0.3">
      <c r="A3" t="s">
        <v>482</v>
      </c>
      <c r="B3" t="s">
        <v>168</v>
      </c>
      <c r="C3" t="s">
        <v>483</v>
      </c>
      <c r="D3" t="b">
        <v>0</v>
      </c>
      <c r="E3" s="8">
        <v>46418</v>
      </c>
      <c r="F3" t="s">
        <v>479</v>
      </c>
      <c r="G3" t="s">
        <v>479</v>
      </c>
      <c r="H3" t="s">
        <v>374</v>
      </c>
      <c r="J3" t="s">
        <v>481</v>
      </c>
      <c r="K3" t="b">
        <v>1</v>
      </c>
    </row>
  </sheetData>
  <dataValidations count="2">
    <dataValidation type="list" allowBlank="1" sqref="D2:D1000">
      <formula1>"TRUE,FALSE"</formula1>
    </dataValidation>
    <dataValidation type="list" allowBlank="1" sqref="K2:K1000">
      <formula1>"TRUE,FALSE"</formula1>
    </dataValidation>
  </dataValidations>
  <pageMargins left="0.75" right="0.75" top="1" bottom="1" header="0.5" footer="0.5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P2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21" customWidth="1"/>
    <col min="3" max="4" width="12" customWidth="1"/>
    <col min="5" max="5" width="13" customWidth="1"/>
    <col min="6" max="8" width="12" customWidth="1"/>
    <col min="9" max="9" width="14" customWidth="1"/>
    <col min="10" max="10" width="12" customWidth="1"/>
    <col min="11" max="11" width="13" customWidth="1"/>
    <col min="12" max="12" width="14" customWidth="1"/>
    <col min="13" max="14" width="12" customWidth="1"/>
    <col min="15" max="15" width="15" customWidth="1"/>
    <col min="16" max="16" width="14" customWidth="1"/>
  </cols>
  <sheetData>
    <row r="1" spans="1:16" x14ac:dyDescent="0.3">
      <c r="A1" s="7" t="s">
        <v>484</v>
      </c>
      <c r="B1" s="7" t="s">
        <v>476</v>
      </c>
      <c r="C1" s="7" t="s">
        <v>485</v>
      </c>
      <c r="D1" s="7" t="s">
        <v>486</v>
      </c>
      <c r="E1" s="7" t="s">
        <v>487</v>
      </c>
      <c r="F1" s="7" t="s">
        <v>154</v>
      </c>
      <c r="G1" s="7" t="s">
        <v>166</v>
      </c>
      <c r="H1" s="7" t="s">
        <v>488</v>
      </c>
      <c r="I1" s="7" t="s">
        <v>489</v>
      </c>
      <c r="J1" s="7" t="s">
        <v>490</v>
      </c>
      <c r="K1" s="7" t="s">
        <v>491</v>
      </c>
      <c r="L1" s="7" t="s">
        <v>492</v>
      </c>
      <c r="M1" s="7" t="s">
        <v>493</v>
      </c>
      <c r="N1" s="7" t="s">
        <v>494</v>
      </c>
      <c r="O1" s="7" t="s">
        <v>495</v>
      </c>
      <c r="P1" s="7" t="s">
        <v>388</v>
      </c>
    </row>
    <row r="2" spans="1:16" x14ac:dyDescent="0.3">
      <c r="A2" t="s">
        <v>496</v>
      </c>
      <c r="B2" t="s">
        <v>481</v>
      </c>
      <c r="C2" t="s">
        <v>497</v>
      </c>
      <c r="D2" t="s">
        <v>498</v>
      </c>
      <c r="E2" t="s">
        <v>499</v>
      </c>
      <c r="F2" t="s">
        <v>500</v>
      </c>
      <c r="G2" t="s">
        <v>182</v>
      </c>
      <c r="H2" t="s">
        <v>501</v>
      </c>
      <c r="I2" t="s">
        <v>502</v>
      </c>
      <c r="J2" t="s">
        <v>503</v>
      </c>
      <c r="K2" t="s">
        <v>504</v>
      </c>
      <c r="L2" t="s">
        <v>502</v>
      </c>
      <c r="M2" s="8">
        <v>46388</v>
      </c>
      <c r="N2" s="8">
        <v>47118</v>
      </c>
      <c r="O2" s="8">
        <v>46267</v>
      </c>
      <c r="P2" t="s">
        <v>505</v>
      </c>
    </row>
    <row r="3" spans="1:16" x14ac:dyDescent="0.3">
      <c r="A3" t="s">
        <v>506</v>
      </c>
      <c r="B3" t="s">
        <v>481</v>
      </c>
      <c r="C3" t="s">
        <v>497</v>
      </c>
      <c r="D3" t="s">
        <v>498</v>
      </c>
      <c r="E3" t="s">
        <v>507</v>
      </c>
      <c r="F3" t="s">
        <v>508</v>
      </c>
      <c r="G3" t="s">
        <v>509</v>
      </c>
      <c r="H3" t="s">
        <v>501</v>
      </c>
      <c r="I3" t="s">
        <v>502</v>
      </c>
      <c r="J3" t="s">
        <v>503</v>
      </c>
      <c r="K3" t="s">
        <v>504</v>
      </c>
      <c r="L3" t="s">
        <v>502</v>
      </c>
      <c r="M3" s="8">
        <v>46388</v>
      </c>
      <c r="N3" s="8">
        <v>47118</v>
      </c>
      <c r="O3" s="8">
        <v>46267</v>
      </c>
      <c r="P3" t="s">
        <v>505</v>
      </c>
    </row>
    <row r="4" spans="1:16" x14ac:dyDescent="0.3">
      <c r="A4" t="s">
        <v>510</v>
      </c>
      <c r="B4" t="s">
        <v>481</v>
      </c>
      <c r="C4" t="s">
        <v>497</v>
      </c>
      <c r="D4" t="s">
        <v>498</v>
      </c>
      <c r="E4" t="s">
        <v>511</v>
      </c>
      <c r="F4" t="s">
        <v>512</v>
      </c>
      <c r="G4" t="s">
        <v>182</v>
      </c>
      <c r="H4" t="s">
        <v>501</v>
      </c>
      <c r="I4" t="s">
        <v>502</v>
      </c>
      <c r="J4" t="s">
        <v>503</v>
      </c>
      <c r="K4" t="s">
        <v>504</v>
      </c>
      <c r="L4" t="s">
        <v>502</v>
      </c>
      <c r="M4" s="8">
        <v>46388</v>
      </c>
      <c r="N4" s="8">
        <v>47118</v>
      </c>
      <c r="O4" s="8">
        <v>46267</v>
      </c>
      <c r="P4" t="s">
        <v>505</v>
      </c>
    </row>
    <row r="5" spans="1:16" x14ac:dyDescent="0.3">
      <c r="A5" t="s">
        <v>513</v>
      </c>
      <c r="B5" t="s">
        <v>481</v>
      </c>
      <c r="C5" t="s">
        <v>497</v>
      </c>
      <c r="D5" t="s">
        <v>498</v>
      </c>
      <c r="E5" t="s">
        <v>514</v>
      </c>
      <c r="F5" t="s">
        <v>515</v>
      </c>
      <c r="G5" t="s">
        <v>182</v>
      </c>
      <c r="H5" t="s">
        <v>501</v>
      </c>
      <c r="I5" t="s">
        <v>502</v>
      </c>
      <c r="J5" t="s">
        <v>503</v>
      </c>
      <c r="K5" t="s">
        <v>516</v>
      </c>
      <c r="L5" t="s">
        <v>502</v>
      </c>
      <c r="M5" s="8">
        <v>46388</v>
      </c>
      <c r="N5" s="8">
        <v>47118</v>
      </c>
      <c r="O5" s="8">
        <v>46267</v>
      </c>
      <c r="P5" t="s">
        <v>505</v>
      </c>
    </row>
    <row r="6" spans="1:16" x14ac:dyDescent="0.3">
      <c r="A6" t="s">
        <v>517</v>
      </c>
      <c r="B6" t="s">
        <v>481</v>
      </c>
      <c r="C6" t="s">
        <v>497</v>
      </c>
      <c r="D6" t="s">
        <v>498</v>
      </c>
      <c r="E6" t="s">
        <v>518</v>
      </c>
      <c r="F6" t="s">
        <v>519</v>
      </c>
      <c r="G6" t="s">
        <v>509</v>
      </c>
      <c r="H6" t="s">
        <v>501</v>
      </c>
      <c r="I6" t="s">
        <v>502</v>
      </c>
      <c r="J6" t="s">
        <v>503</v>
      </c>
      <c r="K6" t="s">
        <v>516</v>
      </c>
      <c r="L6" t="s">
        <v>502</v>
      </c>
      <c r="M6" s="8">
        <v>46388</v>
      </c>
      <c r="N6" s="8">
        <v>47118</v>
      </c>
      <c r="O6" s="8">
        <v>46267</v>
      </c>
      <c r="P6" t="s">
        <v>505</v>
      </c>
    </row>
    <row r="7" spans="1:16" x14ac:dyDescent="0.3">
      <c r="A7" t="s">
        <v>520</v>
      </c>
      <c r="B7" t="s">
        <v>481</v>
      </c>
      <c r="C7" t="s">
        <v>497</v>
      </c>
      <c r="D7" t="s">
        <v>498</v>
      </c>
      <c r="E7" t="s">
        <v>521</v>
      </c>
      <c r="F7" t="s">
        <v>522</v>
      </c>
      <c r="G7" t="s">
        <v>182</v>
      </c>
      <c r="H7" t="s">
        <v>501</v>
      </c>
      <c r="I7" t="s">
        <v>502</v>
      </c>
      <c r="J7" t="s">
        <v>503</v>
      </c>
      <c r="K7" t="s">
        <v>516</v>
      </c>
      <c r="L7" t="s">
        <v>502</v>
      </c>
      <c r="M7" s="8">
        <v>46388</v>
      </c>
      <c r="N7" s="8">
        <v>47118</v>
      </c>
      <c r="O7" s="8">
        <v>46267</v>
      </c>
      <c r="P7" t="s">
        <v>505</v>
      </c>
    </row>
    <row r="8" spans="1:16" x14ac:dyDescent="0.3">
      <c r="A8" t="s">
        <v>523</v>
      </c>
      <c r="B8" t="s">
        <v>481</v>
      </c>
      <c r="C8" t="s">
        <v>497</v>
      </c>
      <c r="D8" t="s">
        <v>498</v>
      </c>
      <c r="E8" t="s">
        <v>524</v>
      </c>
      <c r="F8" t="s">
        <v>525</v>
      </c>
      <c r="G8" t="s">
        <v>182</v>
      </c>
      <c r="H8" t="s">
        <v>501</v>
      </c>
      <c r="I8" t="s">
        <v>502</v>
      </c>
      <c r="J8" t="s">
        <v>503</v>
      </c>
      <c r="K8" t="s">
        <v>526</v>
      </c>
      <c r="L8" t="s">
        <v>502</v>
      </c>
      <c r="M8" s="8">
        <v>46388</v>
      </c>
      <c r="N8" s="8">
        <v>47118</v>
      </c>
      <c r="O8" s="8">
        <v>46267</v>
      </c>
      <c r="P8" t="s">
        <v>505</v>
      </c>
    </row>
    <row r="9" spans="1:16" x14ac:dyDescent="0.3">
      <c r="A9" t="s">
        <v>527</v>
      </c>
      <c r="B9" t="s">
        <v>481</v>
      </c>
      <c r="C9" t="s">
        <v>497</v>
      </c>
      <c r="D9" t="s">
        <v>498</v>
      </c>
      <c r="E9" t="s">
        <v>528</v>
      </c>
      <c r="F9" t="s">
        <v>529</v>
      </c>
      <c r="G9" t="s">
        <v>509</v>
      </c>
      <c r="H9" t="s">
        <v>501</v>
      </c>
      <c r="I9" t="s">
        <v>502</v>
      </c>
      <c r="J9" t="s">
        <v>503</v>
      </c>
      <c r="K9" t="s">
        <v>526</v>
      </c>
      <c r="L9" t="s">
        <v>502</v>
      </c>
      <c r="M9" s="8">
        <v>46388</v>
      </c>
      <c r="N9" s="8">
        <v>47118</v>
      </c>
      <c r="O9" s="8">
        <v>46267</v>
      </c>
      <c r="P9" t="s">
        <v>505</v>
      </c>
    </row>
    <row r="10" spans="1:16" x14ac:dyDescent="0.3">
      <c r="A10" t="s">
        <v>530</v>
      </c>
      <c r="B10" t="s">
        <v>481</v>
      </c>
      <c r="C10" t="s">
        <v>497</v>
      </c>
      <c r="D10" t="s">
        <v>498</v>
      </c>
      <c r="E10" t="s">
        <v>531</v>
      </c>
      <c r="F10" t="s">
        <v>532</v>
      </c>
      <c r="G10" t="s">
        <v>182</v>
      </c>
      <c r="H10" t="s">
        <v>501</v>
      </c>
      <c r="I10" t="s">
        <v>502</v>
      </c>
      <c r="J10" t="s">
        <v>503</v>
      </c>
      <c r="K10" t="s">
        <v>526</v>
      </c>
      <c r="L10" t="s">
        <v>502</v>
      </c>
      <c r="M10" s="8">
        <v>46388</v>
      </c>
      <c r="N10" s="8">
        <v>47118</v>
      </c>
      <c r="O10" s="8">
        <v>46267</v>
      </c>
      <c r="P10" t="s">
        <v>505</v>
      </c>
    </row>
    <row r="11" spans="1:16" x14ac:dyDescent="0.3">
      <c r="A11" t="s">
        <v>533</v>
      </c>
      <c r="B11" t="s">
        <v>481</v>
      </c>
      <c r="C11" t="s">
        <v>497</v>
      </c>
      <c r="D11" t="s">
        <v>498</v>
      </c>
      <c r="E11" t="s">
        <v>534</v>
      </c>
      <c r="F11" t="s">
        <v>535</v>
      </c>
      <c r="G11" t="s">
        <v>182</v>
      </c>
      <c r="H11" t="s">
        <v>501</v>
      </c>
      <c r="I11" t="s">
        <v>502</v>
      </c>
      <c r="J11" t="s">
        <v>503</v>
      </c>
      <c r="K11" t="s">
        <v>536</v>
      </c>
      <c r="L11" t="s">
        <v>502</v>
      </c>
      <c r="M11" s="8">
        <v>46388</v>
      </c>
      <c r="N11" s="8">
        <v>47118</v>
      </c>
      <c r="O11" s="8">
        <v>46267</v>
      </c>
      <c r="P11" t="s">
        <v>505</v>
      </c>
    </row>
    <row r="12" spans="1:16" x14ac:dyDescent="0.3">
      <c r="A12" t="s">
        <v>537</v>
      </c>
      <c r="B12" t="s">
        <v>481</v>
      </c>
      <c r="C12" t="s">
        <v>497</v>
      </c>
      <c r="D12" t="s">
        <v>498</v>
      </c>
      <c r="E12" t="s">
        <v>538</v>
      </c>
      <c r="F12" t="s">
        <v>539</v>
      </c>
      <c r="G12" t="s">
        <v>509</v>
      </c>
      <c r="H12" t="s">
        <v>501</v>
      </c>
      <c r="I12" t="s">
        <v>502</v>
      </c>
      <c r="J12" t="s">
        <v>503</v>
      </c>
      <c r="K12" t="s">
        <v>536</v>
      </c>
      <c r="L12" t="s">
        <v>502</v>
      </c>
      <c r="M12" s="8">
        <v>46388</v>
      </c>
      <c r="N12" s="8">
        <v>47118</v>
      </c>
      <c r="O12" s="8">
        <v>46267</v>
      </c>
      <c r="P12" t="s">
        <v>505</v>
      </c>
    </row>
    <row r="13" spans="1:16" x14ac:dyDescent="0.3">
      <c r="A13" t="s">
        <v>540</v>
      </c>
      <c r="B13" t="s">
        <v>481</v>
      </c>
      <c r="C13" t="s">
        <v>497</v>
      </c>
      <c r="D13" t="s">
        <v>498</v>
      </c>
      <c r="E13" t="s">
        <v>541</v>
      </c>
      <c r="F13" t="s">
        <v>542</v>
      </c>
      <c r="G13" t="s">
        <v>182</v>
      </c>
      <c r="H13" t="s">
        <v>501</v>
      </c>
      <c r="I13" t="s">
        <v>502</v>
      </c>
      <c r="J13" t="s">
        <v>503</v>
      </c>
      <c r="K13" t="s">
        <v>536</v>
      </c>
      <c r="L13" t="s">
        <v>502</v>
      </c>
      <c r="M13" s="8">
        <v>46388</v>
      </c>
      <c r="N13" s="8">
        <v>47118</v>
      </c>
      <c r="O13" s="8">
        <v>46267</v>
      </c>
      <c r="P13" t="s">
        <v>505</v>
      </c>
    </row>
    <row r="14" spans="1:16" x14ac:dyDescent="0.3">
      <c r="A14" t="s">
        <v>543</v>
      </c>
      <c r="B14" t="s">
        <v>481</v>
      </c>
      <c r="C14" t="s">
        <v>497</v>
      </c>
      <c r="D14" t="s">
        <v>498</v>
      </c>
      <c r="E14" t="s">
        <v>544</v>
      </c>
      <c r="F14" t="s">
        <v>545</v>
      </c>
      <c r="G14" t="s">
        <v>182</v>
      </c>
      <c r="H14" t="s">
        <v>501</v>
      </c>
      <c r="I14" t="s">
        <v>502</v>
      </c>
      <c r="J14" t="s">
        <v>503</v>
      </c>
      <c r="K14" t="s">
        <v>546</v>
      </c>
      <c r="L14" t="s">
        <v>502</v>
      </c>
      <c r="M14" s="8">
        <v>46388</v>
      </c>
      <c r="N14" s="8">
        <v>47118</v>
      </c>
      <c r="O14" s="8">
        <v>46267</v>
      </c>
      <c r="P14" t="s">
        <v>505</v>
      </c>
    </row>
    <row r="15" spans="1:16" x14ac:dyDescent="0.3">
      <c r="A15" t="s">
        <v>547</v>
      </c>
      <c r="B15" t="s">
        <v>481</v>
      </c>
      <c r="C15" t="s">
        <v>497</v>
      </c>
      <c r="D15" t="s">
        <v>498</v>
      </c>
      <c r="E15" t="s">
        <v>548</v>
      </c>
      <c r="F15" t="s">
        <v>549</v>
      </c>
      <c r="G15" t="s">
        <v>509</v>
      </c>
      <c r="H15" t="s">
        <v>501</v>
      </c>
      <c r="I15" t="s">
        <v>502</v>
      </c>
      <c r="J15" t="s">
        <v>503</v>
      </c>
      <c r="K15" t="s">
        <v>546</v>
      </c>
      <c r="L15" t="s">
        <v>502</v>
      </c>
      <c r="M15" s="8">
        <v>46388</v>
      </c>
      <c r="N15" s="8">
        <v>47118</v>
      </c>
      <c r="O15" s="8">
        <v>46267</v>
      </c>
      <c r="P15" t="s">
        <v>505</v>
      </c>
    </row>
    <row r="16" spans="1:16" x14ac:dyDescent="0.3">
      <c r="A16" t="s">
        <v>550</v>
      </c>
      <c r="B16" t="s">
        <v>481</v>
      </c>
      <c r="C16" t="s">
        <v>497</v>
      </c>
      <c r="D16" t="s">
        <v>498</v>
      </c>
      <c r="E16" t="s">
        <v>551</v>
      </c>
      <c r="F16" t="s">
        <v>552</v>
      </c>
      <c r="G16" t="s">
        <v>182</v>
      </c>
      <c r="H16" t="s">
        <v>501</v>
      </c>
      <c r="I16" t="s">
        <v>502</v>
      </c>
      <c r="J16" t="s">
        <v>503</v>
      </c>
      <c r="K16" t="s">
        <v>546</v>
      </c>
      <c r="L16" t="s">
        <v>502</v>
      </c>
      <c r="M16" s="8">
        <v>46388</v>
      </c>
      <c r="N16" s="8">
        <v>47118</v>
      </c>
      <c r="O16" s="8">
        <v>46267</v>
      </c>
      <c r="P16" t="s">
        <v>505</v>
      </c>
    </row>
    <row r="17" spans="1:16" x14ac:dyDescent="0.3">
      <c r="A17" t="s">
        <v>553</v>
      </c>
      <c r="B17" t="s">
        <v>481</v>
      </c>
      <c r="C17" t="s">
        <v>497</v>
      </c>
      <c r="D17" t="s">
        <v>498</v>
      </c>
      <c r="E17" t="s">
        <v>554</v>
      </c>
      <c r="F17" t="s">
        <v>555</v>
      </c>
      <c r="G17" t="s">
        <v>509</v>
      </c>
      <c r="H17" t="s">
        <v>501</v>
      </c>
      <c r="I17" t="s">
        <v>502</v>
      </c>
      <c r="J17" t="s">
        <v>503</v>
      </c>
      <c r="K17" t="s">
        <v>556</v>
      </c>
      <c r="L17" t="s">
        <v>502</v>
      </c>
      <c r="M17" s="8">
        <v>46388</v>
      </c>
      <c r="N17" s="8">
        <v>47118</v>
      </c>
      <c r="O17" s="8">
        <v>46267</v>
      </c>
      <c r="P17" t="s">
        <v>505</v>
      </c>
    </row>
    <row r="18" spans="1:16" x14ac:dyDescent="0.3">
      <c r="A18" t="s">
        <v>557</v>
      </c>
      <c r="B18" t="s">
        <v>481</v>
      </c>
      <c r="C18" t="s">
        <v>497</v>
      </c>
      <c r="D18" t="s">
        <v>498</v>
      </c>
      <c r="E18" t="s">
        <v>558</v>
      </c>
      <c r="F18" t="s">
        <v>559</v>
      </c>
      <c r="G18" t="s">
        <v>509</v>
      </c>
      <c r="H18" t="s">
        <v>501</v>
      </c>
      <c r="I18" t="s">
        <v>502</v>
      </c>
      <c r="J18" t="s">
        <v>503</v>
      </c>
      <c r="K18" t="s">
        <v>556</v>
      </c>
      <c r="L18" t="s">
        <v>502</v>
      </c>
      <c r="M18" s="8">
        <v>46388</v>
      </c>
      <c r="N18" s="8">
        <v>47118</v>
      </c>
      <c r="O18" s="8">
        <v>46267</v>
      </c>
      <c r="P18" t="s">
        <v>505</v>
      </c>
    </row>
    <row r="19" spans="1:16" x14ac:dyDescent="0.3">
      <c r="A19" t="s">
        <v>560</v>
      </c>
      <c r="B19" t="s">
        <v>481</v>
      </c>
      <c r="C19" t="s">
        <v>497</v>
      </c>
      <c r="D19" t="s">
        <v>498</v>
      </c>
      <c r="E19" t="s">
        <v>561</v>
      </c>
      <c r="F19" t="s">
        <v>562</v>
      </c>
      <c r="G19" t="s">
        <v>170</v>
      </c>
      <c r="H19" t="s">
        <v>501</v>
      </c>
      <c r="I19" t="s">
        <v>563</v>
      </c>
      <c r="J19" t="s">
        <v>564</v>
      </c>
      <c r="K19" t="s">
        <v>565</v>
      </c>
      <c r="L19" t="s">
        <v>563</v>
      </c>
      <c r="M19" s="8">
        <v>46388</v>
      </c>
      <c r="N19" s="8">
        <v>46568</v>
      </c>
      <c r="O19" s="8">
        <v>46267</v>
      </c>
      <c r="P19" t="s">
        <v>505</v>
      </c>
    </row>
    <row r="20" spans="1:16" x14ac:dyDescent="0.3">
      <c r="A20" t="s">
        <v>566</v>
      </c>
      <c r="B20" t="s">
        <v>481</v>
      </c>
      <c r="C20" t="s">
        <v>567</v>
      </c>
      <c r="D20" t="s">
        <v>568</v>
      </c>
      <c r="E20" t="s">
        <v>569</v>
      </c>
      <c r="F20" t="s">
        <v>570</v>
      </c>
      <c r="G20" t="s">
        <v>509</v>
      </c>
      <c r="H20" t="s">
        <v>501</v>
      </c>
      <c r="I20" t="s">
        <v>571</v>
      </c>
      <c r="J20" t="s">
        <v>572</v>
      </c>
      <c r="K20" t="s">
        <v>573</v>
      </c>
      <c r="L20" t="s">
        <v>571</v>
      </c>
      <c r="M20" s="8">
        <v>46388</v>
      </c>
      <c r="N20" s="8">
        <v>47118</v>
      </c>
      <c r="O20" s="8">
        <v>46267</v>
      </c>
      <c r="P20" t="s">
        <v>505</v>
      </c>
    </row>
  </sheetData>
  <dataValidations count="2">
    <dataValidation type="list" allowBlank="1" sqref="G2:G1000">
      <formula1>"str,int,decimal,bool,date"</formula1>
    </dataValidation>
    <dataValidation type="list" allowBlank="1" sqref="H2:H1000">
      <formula1>"norm,reg,tec,oper"</formula1>
    </dataValidation>
  </dataValidations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E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3" customWidth="1"/>
    <col min="3" max="5" width="12" customWidth="1"/>
  </cols>
  <sheetData>
    <row r="1" spans="1:5" x14ac:dyDescent="0.3">
      <c r="A1" s="7" t="s">
        <v>574</v>
      </c>
      <c r="B1" s="7" t="s">
        <v>487</v>
      </c>
      <c r="C1" s="7" t="s">
        <v>154</v>
      </c>
      <c r="D1" s="7" t="s">
        <v>166</v>
      </c>
      <c r="E1" s="7" t="s">
        <v>469</v>
      </c>
    </row>
    <row r="2" spans="1:5" x14ac:dyDescent="0.3">
      <c r="A2" t="s">
        <v>156</v>
      </c>
      <c r="B2" t="s">
        <v>575</v>
      </c>
      <c r="C2" t="s">
        <v>576</v>
      </c>
      <c r="D2" t="s">
        <v>509</v>
      </c>
      <c r="E2" t="s">
        <v>577</v>
      </c>
    </row>
    <row r="3" spans="1:5" x14ac:dyDescent="0.3">
      <c r="A3" t="s">
        <v>156</v>
      </c>
      <c r="B3" t="s">
        <v>578</v>
      </c>
      <c r="C3" t="s">
        <v>579</v>
      </c>
      <c r="D3" t="s">
        <v>509</v>
      </c>
      <c r="E3" t="s">
        <v>580</v>
      </c>
    </row>
  </sheetData>
  <dataValidations count="1">
    <dataValidation type="list" allowBlank="1" sqref="D2:D1000">
      <formula1>"str,int,decimal,bool,date"</formula1>
    </dataValidation>
  </dataValidations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8" width="12" customWidth="1"/>
    <col min="9" max="9" width="14" customWidth="1"/>
  </cols>
  <sheetData>
    <row r="1" spans="1:9" x14ac:dyDescent="0.3">
      <c r="A1" s="10" t="s">
        <v>468</v>
      </c>
      <c r="B1" s="10" t="s">
        <v>327</v>
      </c>
      <c r="C1" s="10" t="s">
        <v>486</v>
      </c>
      <c r="D1" s="10" t="s">
        <v>581</v>
      </c>
      <c r="E1" s="10" t="s">
        <v>582</v>
      </c>
      <c r="F1" s="10" t="s">
        <v>583</v>
      </c>
      <c r="G1" s="10" t="s">
        <v>420</v>
      </c>
      <c r="H1" s="10" t="s">
        <v>419</v>
      </c>
      <c r="I1" s="10" t="s">
        <v>388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H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7" width="12" customWidth="1"/>
    <col min="8" max="8" width="14" customWidth="1"/>
  </cols>
  <sheetData>
    <row r="1" spans="1:8" x14ac:dyDescent="0.3">
      <c r="A1" s="10" t="s">
        <v>468</v>
      </c>
      <c r="B1" s="10" t="s">
        <v>486</v>
      </c>
      <c r="C1" s="10" t="s">
        <v>584</v>
      </c>
      <c r="D1" s="10" t="s">
        <v>585</v>
      </c>
      <c r="E1" s="10" t="s">
        <v>586</v>
      </c>
      <c r="F1" s="10" t="s">
        <v>587</v>
      </c>
      <c r="G1" s="10" t="s">
        <v>588</v>
      </c>
      <c r="H1" s="10" t="s">
        <v>388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H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7" customWidth="1"/>
    <col min="2" max="3" width="12" customWidth="1"/>
    <col min="4" max="4" width="14" customWidth="1"/>
    <col min="5" max="5" width="18" customWidth="1"/>
    <col min="6" max="6" width="14" customWidth="1"/>
    <col min="7" max="7" width="13" customWidth="1"/>
    <col min="8" max="8" width="15" customWidth="1"/>
  </cols>
  <sheetData>
    <row r="1" spans="1:8" x14ac:dyDescent="0.3">
      <c r="A1" s="10" t="s">
        <v>589</v>
      </c>
      <c r="B1" s="10" t="s">
        <v>468</v>
      </c>
      <c r="C1" s="10" t="s">
        <v>486</v>
      </c>
      <c r="D1" s="10" t="s">
        <v>590</v>
      </c>
      <c r="E1" s="10" t="s">
        <v>591</v>
      </c>
      <c r="F1" s="10" t="s">
        <v>592</v>
      </c>
      <c r="G1" s="10" t="s">
        <v>593</v>
      </c>
      <c r="H1" s="10" t="s">
        <v>594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A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6" customWidth="1"/>
    <col min="3" max="3" width="13" customWidth="1"/>
    <col min="4" max="4" width="12" customWidth="1"/>
    <col min="5" max="5" width="26" customWidth="1"/>
    <col min="6" max="9" width="12" customWidth="1"/>
    <col min="10" max="10" width="27" customWidth="1"/>
    <col min="11" max="11" width="17" customWidth="1"/>
    <col min="12" max="12" width="20" customWidth="1"/>
    <col min="13" max="13" width="31" customWidth="1"/>
    <col min="14" max="14" width="30" customWidth="1"/>
    <col min="15" max="15" width="28" customWidth="1"/>
    <col min="16" max="17" width="27" customWidth="1"/>
    <col min="18" max="18" width="20" customWidth="1"/>
    <col min="19" max="19" width="31" customWidth="1"/>
    <col min="20" max="20" width="30" customWidth="1"/>
    <col min="21" max="21" width="28" customWidth="1"/>
    <col min="22" max="22" width="27" customWidth="1"/>
    <col min="23" max="23" width="31" customWidth="1"/>
    <col min="24" max="25" width="34" customWidth="1"/>
    <col min="26" max="26" width="18" customWidth="1"/>
    <col min="27" max="27" width="14" customWidth="1"/>
  </cols>
  <sheetData>
    <row r="1" spans="1:27" x14ac:dyDescent="0.3">
      <c r="A1" s="10" t="s">
        <v>468</v>
      </c>
      <c r="B1" s="10" t="s">
        <v>474</v>
      </c>
      <c r="C1" s="10" t="s">
        <v>595</v>
      </c>
      <c r="D1" s="10" t="s">
        <v>46</v>
      </c>
      <c r="E1" s="10" t="s">
        <v>596</v>
      </c>
      <c r="F1" s="10" t="s">
        <v>597</v>
      </c>
      <c r="G1" s="10" t="s">
        <v>598</v>
      </c>
      <c r="H1" s="10" t="s">
        <v>599</v>
      </c>
      <c r="I1" s="10" t="s">
        <v>600</v>
      </c>
      <c r="J1" s="10" t="s">
        <v>601</v>
      </c>
      <c r="K1" s="10" t="s">
        <v>602</v>
      </c>
      <c r="L1" s="10" t="s">
        <v>603</v>
      </c>
      <c r="M1" s="10" t="s">
        <v>604</v>
      </c>
      <c r="N1" s="10" t="s">
        <v>605</v>
      </c>
      <c r="O1" s="10" t="s">
        <v>606</v>
      </c>
      <c r="P1" s="10" t="s">
        <v>607</v>
      </c>
      <c r="Q1" s="10" t="s">
        <v>608</v>
      </c>
      <c r="R1" s="10" t="s">
        <v>609</v>
      </c>
      <c r="S1" s="10" t="s">
        <v>610</v>
      </c>
      <c r="T1" s="10" t="s">
        <v>611</v>
      </c>
      <c r="U1" s="10" t="s">
        <v>612</v>
      </c>
      <c r="V1" s="10" t="s">
        <v>613</v>
      </c>
      <c r="W1" s="10" t="s">
        <v>614</v>
      </c>
      <c r="X1" s="10" t="s">
        <v>615</v>
      </c>
      <c r="Y1" s="10" t="s">
        <v>616</v>
      </c>
      <c r="Z1" s="10" t="s">
        <v>617</v>
      </c>
      <c r="AA1" s="10" t="s">
        <v>388</v>
      </c>
    </row>
    <row r="2" spans="1:27" x14ac:dyDescent="0.3">
      <c r="A2" t="s">
        <v>14</v>
      </c>
      <c r="B2" t="s">
        <v>480</v>
      </c>
      <c r="C2" s="9">
        <v>100000</v>
      </c>
      <c r="D2" s="9">
        <v>1200000</v>
      </c>
      <c r="E2" s="11">
        <v>8.8249999999999995E-2</v>
      </c>
      <c r="F2" s="9">
        <v>8825</v>
      </c>
      <c r="G2" s="9">
        <v>1352.87</v>
      </c>
      <c r="H2" s="9">
        <v>15</v>
      </c>
      <c r="I2" s="9">
        <v>7457.13</v>
      </c>
      <c r="J2" s="11"/>
      <c r="L2" s="9"/>
      <c r="M2" s="9">
        <v>0</v>
      </c>
      <c r="N2" s="9"/>
      <c r="O2" s="9"/>
      <c r="P2" s="9"/>
      <c r="Q2" s="11"/>
      <c r="R2" s="9"/>
      <c r="S2" s="9">
        <v>0</v>
      </c>
      <c r="T2" s="9"/>
      <c r="U2" s="9"/>
      <c r="V2" s="9"/>
      <c r="W2" s="9">
        <v>8825</v>
      </c>
      <c r="X2" s="9">
        <v>947.01</v>
      </c>
      <c r="Y2" s="9">
        <v>10.5</v>
      </c>
      <c r="Z2" t="s">
        <v>618</v>
      </c>
      <c r="AA2" t="s">
        <v>505</v>
      </c>
    </row>
    <row r="3" spans="1:27" x14ac:dyDescent="0.3">
      <c r="A3" t="s">
        <v>482</v>
      </c>
      <c r="B3" t="s">
        <v>374</v>
      </c>
      <c r="C3" s="9">
        <v>100000</v>
      </c>
      <c r="D3" s="9">
        <v>1200000</v>
      </c>
      <c r="E3" s="11">
        <v>8.8249999999999995E-2</v>
      </c>
      <c r="F3" s="9"/>
      <c r="G3" s="9"/>
      <c r="H3" s="9"/>
      <c r="I3" s="9">
        <v>7457.13</v>
      </c>
      <c r="J3" s="11">
        <v>0.09</v>
      </c>
      <c r="K3" t="s">
        <v>619</v>
      </c>
      <c r="L3" s="9">
        <v>9000</v>
      </c>
      <c r="M3" s="9">
        <v>7650</v>
      </c>
      <c r="N3" s="9">
        <v>7650</v>
      </c>
      <c r="O3" s="9">
        <v>1350</v>
      </c>
      <c r="P3" s="9">
        <v>0</v>
      </c>
      <c r="Q3" s="11">
        <v>1E-3</v>
      </c>
      <c r="R3" s="9">
        <v>100</v>
      </c>
      <c r="S3" s="9">
        <v>85</v>
      </c>
      <c r="T3" s="9">
        <v>85</v>
      </c>
      <c r="U3" s="9">
        <v>15</v>
      </c>
      <c r="V3" s="9">
        <v>0</v>
      </c>
      <c r="W3" s="9">
        <v>8822.1299999999992</v>
      </c>
      <c r="X3" s="9">
        <v>6300</v>
      </c>
      <c r="Y3" s="9">
        <v>70</v>
      </c>
      <c r="Z3" t="s">
        <v>620</v>
      </c>
      <c r="AA3" t="s">
        <v>505</v>
      </c>
    </row>
  </sheetData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H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7" customWidth="1"/>
    <col min="2" max="4" width="12" customWidth="1"/>
    <col min="5" max="5" width="13" customWidth="1"/>
    <col min="6" max="6" width="12" customWidth="1"/>
    <col min="7" max="7" width="17" customWidth="1"/>
    <col min="8" max="8" width="20" customWidth="1"/>
  </cols>
  <sheetData>
    <row r="1" spans="1:8" x14ac:dyDescent="0.3">
      <c r="A1" s="10" t="s">
        <v>589</v>
      </c>
      <c r="B1" s="10" t="s">
        <v>468</v>
      </c>
      <c r="C1" s="10" t="s">
        <v>621</v>
      </c>
      <c r="D1" s="10" t="s">
        <v>622</v>
      </c>
      <c r="E1" s="10" t="s">
        <v>623</v>
      </c>
      <c r="F1" s="10" t="s">
        <v>118</v>
      </c>
      <c r="G1" s="10" t="s">
        <v>624</v>
      </c>
      <c r="H1" s="10" t="s">
        <v>625</v>
      </c>
    </row>
    <row r="2" spans="1:8" x14ac:dyDescent="0.3">
      <c r="A2" t="s">
        <v>14</v>
      </c>
      <c r="B2" t="s">
        <v>482</v>
      </c>
      <c r="C2" t="s">
        <v>614</v>
      </c>
      <c r="D2" s="9">
        <v>8825</v>
      </c>
      <c r="E2" s="9">
        <v>8822.1299999999992</v>
      </c>
      <c r="F2" s="9">
        <v>-2.87</v>
      </c>
      <c r="G2" t="s">
        <v>618</v>
      </c>
      <c r="H2" t="s">
        <v>620</v>
      </c>
    </row>
    <row r="3" spans="1:8" x14ac:dyDescent="0.3">
      <c r="A3" t="s">
        <v>14</v>
      </c>
      <c r="B3" t="s">
        <v>482</v>
      </c>
      <c r="C3" t="s">
        <v>626</v>
      </c>
      <c r="D3" s="9">
        <v>0</v>
      </c>
      <c r="E3" s="9">
        <v>7650</v>
      </c>
      <c r="F3" s="9">
        <v>7650</v>
      </c>
      <c r="G3" t="s">
        <v>618</v>
      </c>
      <c r="H3" t="s">
        <v>620</v>
      </c>
    </row>
    <row r="4" spans="1:8" x14ac:dyDescent="0.3">
      <c r="A4" t="s">
        <v>14</v>
      </c>
      <c r="B4" t="s">
        <v>482</v>
      </c>
      <c r="C4" t="s">
        <v>627</v>
      </c>
      <c r="D4" s="9">
        <v>0</v>
      </c>
      <c r="E4" s="9">
        <v>85</v>
      </c>
      <c r="F4" s="9">
        <v>85</v>
      </c>
      <c r="G4" t="s">
        <v>618</v>
      </c>
      <c r="H4" t="s">
        <v>620</v>
      </c>
    </row>
    <row r="5" spans="1:8" x14ac:dyDescent="0.3">
      <c r="A5" t="s">
        <v>14</v>
      </c>
      <c r="B5" t="s">
        <v>482</v>
      </c>
      <c r="C5" t="s">
        <v>615</v>
      </c>
      <c r="D5" s="9">
        <v>947.01</v>
      </c>
      <c r="E5" s="9">
        <v>6300</v>
      </c>
      <c r="F5" s="9">
        <v>5352.99</v>
      </c>
      <c r="G5" t="s">
        <v>618</v>
      </c>
      <c r="H5" t="s">
        <v>620</v>
      </c>
    </row>
    <row r="6" spans="1:8" x14ac:dyDescent="0.3">
      <c r="A6" t="s">
        <v>14</v>
      </c>
      <c r="B6" t="s">
        <v>482</v>
      </c>
      <c r="C6" t="s">
        <v>616</v>
      </c>
      <c r="D6" s="9">
        <v>10.5</v>
      </c>
      <c r="E6" s="9">
        <v>70</v>
      </c>
      <c r="F6" s="9">
        <v>59.5</v>
      </c>
      <c r="G6" t="s">
        <v>618</v>
      </c>
      <c r="H6" t="s">
        <v>620</v>
      </c>
    </row>
  </sheetData>
  <pageMargins left="0.75" right="0.75" top="1" bottom="1" header="0.5" footer="0.5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64A2"/>
  </sheetPr>
  <dimension ref="A1:K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3" width="12" customWidth="1"/>
    <col min="4" max="4" width="42" customWidth="1"/>
    <col min="5" max="5" width="14" customWidth="1"/>
    <col min="6" max="9" width="12" customWidth="1"/>
    <col min="10" max="10" width="13" customWidth="1"/>
    <col min="11" max="11" width="14" customWidth="1"/>
  </cols>
  <sheetData>
    <row r="1" spans="1:11" x14ac:dyDescent="0.3">
      <c r="A1" s="10" t="s">
        <v>628</v>
      </c>
      <c r="B1" s="10" t="s">
        <v>629</v>
      </c>
      <c r="C1" s="10" t="s">
        <v>630</v>
      </c>
      <c r="D1" s="10" t="s">
        <v>631</v>
      </c>
      <c r="E1" s="10" t="s">
        <v>632</v>
      </c>
      <c r="F1" s="10" t="s">
        <v>633</v>
      </c>
      <c r="G1" s="10" t="s">
        <v>634</v>
      </c>
      <c r="H1" s="10" t="s">
        <v>635</v>
      </c>
      <c r="I1" s="10" t="s">
        <v>636</v>
      </c>
      <c r="J1" s="10" t="s">
        <v>637</v>
      </c>
      <c r="K1" s="10" t="s">
        <v>638</v>
      </c>
    </row>
    <row r="2" spans="1:11" x14ac:dyDescent="0.3">
      <c r="A2" t="s">
        <v>83</v>
      </c>
      <c r="B2" t="b">
        <v>1</v>
      </c>
      <c r="D2" t="s">
        <v>639</v>
      </c>
    </row>
    <row r="3" spans="1:11" x14ac:dyDescent="0.3">
      <c r="A3" t="s">
        <v>86</v>
      </c>
      <c r="B3" t="b">
        <v>1</v>
      </c>
      <c r="D3" t="s">
        <v>639</v>
      </c>
    </row>
    <row r="4" spans="1:11" x14ac:dyDescent="0.3">
      <c r="A4" t="s">
        <v>89</v>
      </c>
      <c r="B4" t="b">
        <v>1</v>
      </c>
      <c r="D4" t="s">
        <v>639</v>
      </c>
    </row>
    <row r="5" spans="1:11" x14ac:dyDescent="0.3">
      <c r="A5" t="s">
        <v>75</v>
      </c>
      <c r="B5" t="b">
        <v>1</v>
      </c>
      <c r="D5" t="s">
        <v>639</v>
      </c>
    </row>
    <row r="6" spans="1:11" x14ac:dyDescent="0.3">
      <c r="A6" t="s">
        <v>71</v>
      </c>
      <c r="B6" t="b">
        <v>1</v>
      </c>
      <c r="D6" t="s">
        <v>639</v>
      </c>
    </row>
    <row r="7" spans="1:11" x14ac:dyDescent="0.3">
      <c r="A7" t="s">
        <v>79</v>
      </c>
      <c r="B7" t="b">
        <v>1</v>
      </c>
      <c r="D7" t="s">
        <v>639</v>
      </c>
    </row>
    <row r="8" spans="1:11" x14ac:dyDescent="0.3">
      <c r="A8" t="s">
        <v>93</v>
      </c>
      <c r="B8" t="b">
        <v>1</v>
      </c>
      <c r="D8" t="s">
        <v>639</v>
      </c>
    </row>
    <row r="9" spans="1:11" x14ac:dyDescent="0.3">
      <c r="A9" t="s">
        <v>96</v>
      </c>
      <c r="B9" t="b">
        <v>1</v>
      </c>
      <c r="D9" t="s">
        <v>639</v>
      </c>
    </row>
    <row r="10" spans="1:11" x14ac:dyDescent="0.3">
      <c r="A10" t="s">
        <v>101</v>
      </c>
      <c r="B10" t="b">
        <v>1</v>
      </c>
      <c r="D10" t="s">
        <v>639</v>
      </c>
    </row>
    <row r="11" spans="1:11" x14ac:dyDescent="0.3">
      <c r="A11" t="s">
        <v>640</v>
      </c>
      <c r="B11" t="b">
        <v>1</v>
      </c>
      <c r="D11" t="s">
        <v>639</v>
      </c>
    </row>
    <row r="12" spans="1:11" x14ac:dyDescent="0.3">
      <c r="A12" t="s">
        <v>641</v>
      </c>
      <c r="B12" t="b">
        <v>1</v>
      </c>
      <c r="D12" t="s">
        <v>639</v>
      </c>
    </row>
    <row r="13" spans="1:11" x14ac:dyDescent="0.3">
      <c r="A13" t="s">
        <v>642</v>
      </c>
      <c r="B13" t="b">
        <v>1</v>
      </c>
      <c r="D13" t="s">
        <v>639</v>
      </c>
    </row>
    <row r="14" spans="1:11" x14ac:dyDescent="0.3">
      <c r="A14" t="s">
        <v>643</v>
      </c>
      <c r="B14" t="b">
        <v>1</v>
      </c>
      <c r="D14" t="s">
        <v>639</v>
      </c>
    </row>
  </sheetData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64A2"/>
  </sheetPr>
  <dimension ref="A1:B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</cols>
  <sheetData>
    <row r="1" spans="1:2" x14ac:dyDescent="0.3">
      <c r="A1" s="10" t="s">
        <v>153</v>
      </c>
      <c r="B1" s="10" t="s">
        <v>154</v>
      </c>
    </row>
    <row r="2" spans="1:2" x14ac:dyDescent="0.3">
      <c r="A2" t="s">
        <v>644</v>
      </c>
      <c r="B2" t="s">
        <v>136</v>
      </c>
    </row>
    <row r="3" spans="1:2" x14ac:dyDescent="0.3">
      <c r="A3" t="s">
        <v>645</v>
      </c>
      <c r="B3" t="s">
        <v>646</v>
      </c>
    </row>
    <row r="4" spans="1:2" x14ac:dyDescent="0.3">
      <c r="A4" t="s">
        <v>647</v>
      </c>
      <c r="B4" t="s">
        <v>648</v>
      </c>
    </row>
    <row r="5" spans="1:2" x14ac:dyDescent="0.3">
      <c r="A5" t="s">
        <v>649</v>
      </c>
      <c r="B5" t="s">
        <v>650</v>
      </c>
    </row>
    <row r="6" spans="1:2" x14ac:dyDescent="0.3">
      <c r="A6" t="s">
        <v>651</v>
      </c>
      <c r="B6" t="s">
        <v>652</v>
      </c>
    </row>
    <row r="7" spans="1:2" x14ac:dyDescent="0.3">
      <c r="A7" t="s">
        <v>155</v>
      </c>
      <c r="B7" t="s">
        <v>156</v>
      </c>
    </row>
    <row r="8" spans="1:2" x14ac:dyDescent="0.3">
      <c r="A8" t="s">
        <v>161</v>
      </c>
      <c r="B8" t="s">
        <v>162</v>
      </c>
    </row>
    <row r="9" spans="1:2" x14ac:dyDescent="0.3">
      <c r="A9" t="s">
        <v>653</v>
      </c>
      <c r="B9" t="s">
        <v>136</v>
      </c>
    </row>
    <row r="10" spans="1:2" x14ac:dyDescent="0.3">
      <c r="A10" t="s">
        <v>654</v>
      </c>
      <c r="B10" t="s">
        <v>391</v>
      </c>
    </row>
    <row r="11" spans="1:2" x14ac:dyDescent="0.3">
      <c r="A11" t="s">
        <v>655</v>
      </c>
      <c r="B11" t="s">
        <v>89</v>
      </c>
    </row>
    <row r="12" spans="1:2" x14ac:dyDescent="0.3">
      <c r="A12" t="s">
        <v>656</v>
      </c>
      <c r="B12" t="s">
        <v>657</v>
      </c>
    </row>
    <row r="13" spans="1:2" x14ac:dyDescent="0.3">
      <c r="A13" t="s">
        <v>658</v>
      </c>
      <c r="B13" t="s">
        <v>481</v>
      </c>
    </row>
    <row r="14" spans="1:2" x14ac:dyDescent="0.3">
      <c r="A14" t="s">
        <v>659</v>
      </c>
      <c r="B14" t="s">
        <v>156</v>
      </c>
    </row>
    <row r="15" spans="1:2" x14ac:dyDescent="0.3">
      <c r="A15" t="s">
        <v>660</v>
      </c>
      <c r="B15" t="s">
        <v>657</v>
      </c>
    </row>
    <row r="16" spans="1:2" x14ac:dyDescent="0.3">
      <c r="A16" t="s">
        <v>661</v>
      </c>
      <c r="B16" t="s">
        <v>619</v>
      </c>
    </row>
    <row r="17" spans="1:2" x14ac:dyDescent="0.3">
      <c r="A17" t="s">
        <v>159</v>
      </c>
      <c r="B17" t="s">
        <v>11</v>
      </c>
    </row>
    <row r="18" spans="1:2" x14ac:dyDescent="0.3">
      <c r="A18" t="s">
        <v>662</v>
      </c>
      <c r="B18" t="s">
        <v>663</v>
      </c>
    </row>
    <row r="19" spans="1:2" x14ac:dyDescent="0.3">
      <c r="A19" t="s">
        <v>664</v>
      </c>
      <c r="B19" t="s">
        <v>350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RESUMO</vt:lpstr>
      <vt:lpstr>ENTRADAS</vt:lpstr>
      <vt:lpstr>COMPARACAO</vt:lpstr>
      <vt:lpstr>README</vt:lpstr>
      <vt:lpstr>CONFIG</vt:lpstr>
      <vt:lpstr>ENTIDADE</vt:lpstr>
      <vt:lpstr>PLANO_CONTAS</vt:lpstr>
      <vt:lpstr>MAPEAMENTO_CONTAS</vt:lpstr>
      <vt:lpstr>EVENTOS</vt:lpstr>
      <vt:lpstr>EVENTOS_FISCAIS</vt:lpstr>
      <vt:lpstr>LANCAMENTOS</vt:lpstr>
      <vt:lpstr>PARTIDAS</vt:lpstr>
      <vt:lpstr>VINCULO_EVENTO_LCTO</vt:lpstr>
      <vt:lpstr>DIARIO</vt:lpstr>
      <vt:lpstr>RAZAO</vt:lpstr>
      <vt:lpstr>BALANCETE</vt:lpstr>
      <vt:lpstr>MAPEAMENTO_DF</vt:lpstr>
      <vt:lpstr>BP</vt:lpstr>
      <vt:lpstr>DRE</vt:lpstr>
      <vt:lpstr>CENARIOS_TRIBUTARIOS</vt:lpstr>
      <vt:lpstr>FISCAL_PARAM</vt:lpstr>
      <vt:lpstr>ANALISE_PARAM</vt:lpstr>
      <vt:lpstr>FISCAL_RESULTADOS_OPERACAO</vt:lpstr>
      <vt:lpstr>FISCAL_APURACAO</vt:lpstr>
      <vt:lpstr>COMPARATIVO_CENARIOS</vt:lpstr>
      <vt:lpstr>SIMPLES_2027_RESULTADOS</vt:lpstr>
      <vt:lpstr>SIMPLES_2027_COMPARACAO</vt:lpstr>
      <vt:lpstr>VALIDACOES</vt:lpstr>
      <vt:lpstr>PROVENIENCIA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leoyv</cp:lastModifiedBy>
  <dcterms:created xsi:type="dcterms:W3CDTF">2026-09-02T23:07:50Z</dcterms:created>
  <dcterms:modified xsi:type="dcterms:W3CDTF">2026-09-02T23:22:55Z</dcterms:modified>
</cp:coreProperties>
</file>